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dc71e443c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5478ff485d64847"/>
    <x:sheet xmlns:r="http://schemas.openxmlformats.org/officeDocument/2006/relationships" name="Policy Simulator" sheetId="2" r:id="R8704d900aad34fa5"/>
    <x:sheet xmlns:r="http://schemas.openxmlformats.org/officeDocument/2006/relationships" name="Model Review" sheetId="3" r:id="R2b97e072be9843a3"/>
    <x:sheet xmlns:r="http://schemas.openxmlformats.org/officeDocument/2006/relationships" name="Weekly Monitoring" sheetId="4" r:id="Re2276504417b47ac"/>
    <x:sheet xmlns:r="http://schemas.openxmlformats.org/officeDocument/2006/relationships" name="Data Profile" sheetId="5" r:id="R690770fb74a14036"/>
    <x:sheet xmlns:r="http://schemas.openxmlformats.org/officeDocument/2006/relationships" name="Source Data" sheetId="6" r:id="R12f89cac1a0b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.0%"/>
    <x:numFmt numFmtId="202" formatCode="#,##0"/>
    <x:numFmt numFmtId="203" formatCode="0.00%"/>
    <x:numFmt numFmtId="204" formatCode="0.000"/>
  </x:numFmts>
  <x:fonts count="9">
    <x:font>
      <x:sz val="11"/>
      <x:name val="Carlito"/>
    </x:font>
    <x:font>
      <x:sz val="10"/>
      <x:color rgb="FF172033"/>
      <x:name val="Arial"/>
    </x:font>
    <x:font>
      <x:b/>
      <x:sz val="16"/>
      <x:color rgb="FF0B1728"/>
      <x:name val="Arial"/>
    </x:font>
    <x:font>
      <x:i/>
      <x:sz val="10"/>
      <x:color rgb="FF65758B"/>
      <x:name val="Arial"/>
    </x:font>
    <x:font>
      <x:b/>
      <x:sz val="10"/>
      <x:color rgb="FFFFFFFF"/>
      <x:name val="Arial"/>
    </x:font>
    <x:font>
      <x:b/>
      <x:sz val="10"/>
      <x:color rgb="FF0B1728"/>
      <x:name val="Arial"/>
    </x:font>
    <x:font>
      <x:b/>
      <x:sz val="10"/>
      <x:color rgb="FF172033"/>
      <x:name val="Arial"/>
    </x:font>
    <x:font>
      <x:b/>
      <x:sz val="12"/>
      <x:color rgb="FF0B1728"/>
      <x:name val="Arial"/>
    </x:font>
    <x:font>
      <x:b/>
      <x:sz val="10"/>
      <x:color rgb="FF65758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0B8A5"/>
      </x:patternFill>
    </x:fill>
    <x:fill>
      <x:patternFill patternType="solid">
        <x:fgColor rgb="FF0B1728"/>
      </x:patternFill>
    </x:fill>
    <x:fill>
      <x:patternFill patternType="solid">
        <x:fgColor rgb="FFFFF4DA"/>
      </x:patternFill>
    </x:fill>
    <x:fill>
      <x:patternFill patternType="solid">
        <x:fgColor rgb="FFF3F6F9"/>
      </x:patternFill>
    </x:fill>
    <x:fill>
      <x:patternFill patternType="solid">
        <x:fgColor rgb="FFE6F5F2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top style="thin">
        <x:color rgb="FFD8E1EA"/>
      </x:top>
    </x:border>
    <x:border>
      <x:left style="dashed">
        <x:color rgb="FFF2B84B"/>
      </x:left>
      <x:right style="dashed">
        <x:color rgb="FFF2B84B"/>
      </x:right>
      <x:top style="dashed">
        <x:color rgb="FFF2B84B"/>
      </x:top>
      <x:bottom style="dashed">
        <x:color rgb="FFF2B84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4" fontId="1" fillId="0" borderId="5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1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A5A00"/>
      </x:font>
      <x:fill>
        <x:patternFill patternType="solid">
          <x:bgColor rgb="FFFFF4DA"/>
        </x:patternFill>
      </x:fill>
    </x:dxf>
    <x:dxf>
      <x:font>
        <x:b/>
        <x:color rgb="FFA12B33"/>
      </x:font>
      <x:fill>
        <x:patternFill patternType="solid">
          <x:bgColor rgb="FFFCE8EA"/>
        </x:patternFill>
      </x:fill>
    </x:dxf>
    <x:dxf>
      <x:font>
        <x:b/>
        <x:color rgb="FF8A5A00"/>
      </x:font>
      <x:fill>
        <x:patternFill patternType="solid">
          <x:bgColor rgb="FFFFF4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f908b12b440a2" /><Relationship Type="http://schemas.openxmlformats.org/officeDocument/2006/relationships/theme" Target="/xl/theme/theme1.xml" Id="R68b05ea86fd84455" /><Relationship Type="http://schemas.openxmlformats.org/officeDocument/2006/relationships/sharedStrings" Target="/xl/sharedStrings.xml" Id="R68f56f40136f4dc1" /><Relationship Type="http://schemas.openxmlformats.org/officeDocument/2006/relationships/worksheet" Target="/xl/worksheets/sheet1.xml" Id="Ra5478ff485d64847" /><Relationship Type="http://schemas.openxmlformats.org/officeDocument/2006/relationships/worksheet" Target="/xl/worksheets/sheet2.xml" Id="R8704d900aad34fa5" /><Relationship Type="http://schemas.openxmlformats.org/officeDocument/2006/relationships/worksheet" Target="/xl/worksheets/sheet3.xml" Id="R2b97e072be9843a3" /><Relationship Type="http://schemas.openxmlformats.org/officeDocument/2006/relationships/worksheet" Target="/xl/worksheets/sheet4.xml" Id="Re2276504417b47ac" /><Relationship Type="http://schemas.openxmlformats.org/officeDocument/2006/relationships/worksheet" Target="/xl/worksheets/sheet5.xml" Id="R690770fb74a14036" /><Relationship Type="http://schemas.openxmlformats.org/officeDocument/2006/relationships/worksheet" Target="/xl/worksheets/sheet6.xml" Id="R12f89cac1a0b42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0abc24f3ab495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9fafbfcb2c5435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b9a9153260643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Observed fraud rate by action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Observed fraud rate</c:v>
          </c:tx>
          <c:cat>
            <c:strRef>
              <c:f>'Policy Simulator'!$A$13:$A$16</c:f>
              <c:strCache>
                <c:ptCount val="0"/>
              </c:strCache>
            </c:strRef>
          </c:cat>
          <c:val>
            <c:numRef>
              <c:f>'Policy Simulator'!$C$13:$C$16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precision by model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Average precision</c:v>
          </c:tx>
          <c:cat>
            <c:strRef>
              <c:f>'Model Review'!$A$6:$A$10</c:f>
              <c:strCache>
                <c:ptCount val="0"/>
              </c:strCache>
            </c:strRef>
          </c:cat>
          <c:val>
            <c:numRef>
              <c:f>'Model Review'!$C$6:$C$10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Score drift and calibration error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ECE</c:v>
          </c:tx>
          <c:spPr>
            <a:ln xmlns:a="http://schemas.openxmlformats.org/drawingml/2006/main" w="19050">
              <a:solidFill>
                <a:srgbClr val="F2B84B"/>
              </a:solidFill>
              <a:prstDash val="solid"/>
            </a:ln>
          </c:spPr>
          <c:marker>
            <c:symbol val="none"/>
          </c:marker>
          <c:cat>
            <c:strRef>
              <c:f>'Weekly Monitoring'!$A$6:$A$11</c:f>
              <c:strCache>
                <c:ptCount val="0"/>
              </c:strCache>
            </c:strRef>
          </c:cat>
          <c:val>
            <c:numRef>
              <c:f>'Weekly Monitoring'!$G$6:$G$11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Score PSI</c:v>
          </c:tx>
          <c:spPr>
            <a:ln xmlns:a="http://schemas.openxmlformats.org/drawingml/2006/main" w="19050">
              <a:solidFill>
                <a:srgbClr val="20B8A5"/>
              </a:solidFill>
              <a:prstDash val="solid"/>
            </a:ln>
          </c:spPr>
          <c:marker>
            <c:symbol val="none"/>
          </c:marker>
          <c:cat>
            <c:strRef>
              <c:f>'Weekly Monitoring'!$A$6:$A$11</c:f>
              <c:strCache>
                <c:ptCount val="0"/>
              </c:strCache>
            </c:strRef>
          </c:cat>
          <c:val>
            <c:numRef>
              <c:f>'Weekly Monitoring'!$H$6:$H$11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0abc24f3ab495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fafbfcb2c5435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9a9153260643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53fce128d3747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ffc7678336d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a1a99989f7648a7" /></Relationships>
</file>

<file path=xl/worksheets/sheet1.xml><?xml version="1.0" encoding="utf-8"?>
<x:worksheet xmlns:x="http://schemas.openxmlformats.org/spreadsheetml/2006/main">
  <x:sheetPr>
    <x:tabColor rgb="FF0B1728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Fraud Operations Intelligence Lab</x:v>
      </x:c>
      <x:c r="B2" s="2" t="str">
        <x:v>Fraud Operations Intelligence Lab</x:v>
      </x:c>
      <x:c r="C2" s="2" t="str">
        <x:v>Fraud Operations Intelligence Lab</x:v>
      </x:c>
      <x:c r="D2" s="2" t="str">
        <x:v>Fraud Operations Intelligence Lab</x:v>
      </x:c>
      <x:c r="E2" s="2" t="str">
        <x:v>Fraud Operations Intelligence Lab</x:v>
      </x:c>
      <x:c r="F2" s="2" t="str">
        <x:v>Fraud Operations Intelligence Lab</x:v>
      </x:c>
      <x:c r="G2" s="2" t="str">
        <x:v>Fraud Operations Intelligence Lab</x:v>
      </x:c>
      <x:c r="H2" s="2" t="str">
        <x:v>Fraud Operations Intelligence Lab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2" t="str">
        <x:v>Selected scenario</x:v>
      </x:c>
      <x:c r="B5" s="37" t="str">
        <x:f>'Policy Simulator'!B5</x:f>
        <x:v>Balanced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2" t="str">
        <x:v>Daily review capacity</x:v>
      </x:c>
      <x:c r="B6" s="37" t="n">
        <x:f>'Policy Simulator'!E5</x:f>
        <x:v>100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4" customHeight="1">
      <x:c r="A9" s="13" t="str">
        <x:v>Precision@100</x:v>
      </x:c>
      <x:c r="B9" s="14" t="str">
        <x:v>Exposure captured@100</x:v>
      </x:c>
      <x:c r="C9" s="14" t="str">
        <x:v>Average precision</x:v>
      </x:c>
      <x:c r="D9" s="14" t="str">
        <x:v>Prevented-exposure proxy</x:v>
      </x:c>
      <x:c r="E9" s="14" t="str">
        <x:v>Fraud-case reach</x:v>
      </x:c>
      <x:c r="F9" s="14" t="str">
        <x:v>Review utilisation</x:v>
      </x:c>
      <x:c r="G9" s="14" t="str">
        <x:v>Legitimate transactions interrupted</x:v>
      </x:c>
      <x:c r="H9" s="15" t="str">
        <x:v>Proxy cost reduction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2" t="n">
        <x:f>'Model Review'!F9</x:f>
        <x:v>0.3470967741935484</x:v>
      </x:c>
      <x:c r="B10" s="42" t="n">
        <x:f>'Model Review'!H9</x:f>
        <x:v>0.33132154845242245</x:v>
      </x:c>
      <x:c r="C10" s="42" t="n">
        <x:f>'Model Review'!C9</x:f>
        <x:v>0.45969226083775816</x:v>
      </x:c>
      <x:c r="D10" s="42" t="n">
        <x:f>'Policy Simulator'!F9</x:f>
        <x:v>0.5781622673111589</x:v>
      </x:c>
      <x:c r="E10" s="42" t="n">
        <x:f>'Policy Simulator'!D9</x:f>
        <x:v>0.6120661693156016</x:v>
      </x:c>
      <x:c r="F10" s="42" t="n">
        <x:f>'Policy Simulator'!B9</x:f>
        <x:v>0.8383870967741935</x:v>
      </x:c>
      <x:c r="G10" s="43" t="n">
        <x:f>'Policy Simulator'!G9</x:f>
        <x:v>8731</x:v>
      </x:c>
      <x:c r="H10" s="43" t="n">
        <x:f>'Policy Simulator'!H9</x:f>
        <x:v>118782.70851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4" customHeight="1">
      <x:c r="A13" s="13" t="str">
        <x:v>Decision</x:v>
      </x:c>
      <x:c r="B13" s="14" t="str">
        <x:v>Evidence</x:v>
      </x:c>
      <x:c r="C13" s="14" t="str">
        <x:v>Risk</x:v>
      </x:c>
      <x:c r="D13" s="14" t="str">
        <x:v>Next gate</x:v>
      </x:c>
      <x:c r="E13" s="14" t="str">
        <x:v>Fallback</x:v>
      </x:c>
      <x:c r="F13" s="14" t="str">
        <x:v>Monitoring</x:v>
      </x:c>
      <x:c r="G13" s="14" t="str">
        <x:v>Data</x:v>
      </x:c>
      <x:c r="H13" s="15" t="str">
        <x:v>Claim boundary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8" customHeight="1">
      <x:c r="A14" s="53" t="str">
        <x:v>Advance to shadow mode</x:v>
      </x:c>
      <x:c r="B14" s="53" t="str">
        <x:v>GBM precision@100 is 34.71% vs 14.16% linear</x:v>
      </x:c>
      <x:c r="C14" s="53" t="str">
        <x:v>Identity lift is not established</x:v>
      </x:c>
      <x:c r="D14" s="53" t="str">
        <x:v>Four stable production weeks</x:v>
      </x:c>
      <x:c r="E14" s="53" t="str">
        <x:v>GBM transaction-only</x:v>
      </x:c>
      <x:c r="F14" s="53" t="str">
        <x:v>PSI and ECE gates</x:v>
      </x:c>
      <x:c r="G14" s="53" t="str">
        <x:v>590,540 real anonymised transactions</x:v>
      </x:c>
      <x:c r="H14" s="53" t="str">
        <x:v>No live causal evidence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8" customHeight="1">
      <x:c r="A15" s="54" t="str">
        <x:v>No automatic blocking</x:v>
      </x:c>
      <x:c r="B15" s="54" t="str">
        <x:v>Block cohort fraud rate is 65.56% in locked OOT</x:v>
      </x:c>
      <x:c r="C15" s="54" t="str">
        <x:v>False-positive customer harm</x:v>
      </x:c>
      <x:c r="D15" s="54" t="str">
        <x:v>Measure step-up and block outcomes</x:v>
      </x:c>
      <x:c r="E15" s="54" t="str">
        <x:v>Existing process stays authoritative</x:v>
      </x:c>
      <x:c r="F15" s="54" t="str">
        <x:v>Track complaints and abandonment</x:v>
      </x:c>
      <x:c r="G15" s="54" t="str">
        <x:v>Identity coverage is 24.42%</x:v>
      </x:c>
      <x:c r="H15" s="54" t="str">
        <x:v>Exposure is not realised loss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8" customHeight="1">
      <x:c r="A16" s="55" t="str">
        <x:v>Use balanced posture as reference</x:v>
      </x:c>
      <x:c r="B16" s="55" t="str">
        <x:v>Policy reaches 61.21% of fraud cases</x:v>
      </x:c>
      <x:c r="C16" s="55" t="str">
        <x:v>Cost outputs depend on assumptions</x:v>
      </x:c>
      <x:c r="D16" s="55" t="str">
        <x:v>Validate review throughput and costs</x:v>
      </x:c>
      <x:c r="E16" s="55" t="str">
        <x:v>Customer-first policy</x:v>
      </x:c>
      <x:c r="F16" s="55" t="str">
        <x:v>Collect delayed population labels</x:v>
      </x:c>
      <x:c r="G16" s="55" t="str">
        <x:v>31-day locked OOT</x:v>
      </x:c>
      <x:c r="H16" s="55" t="str">
        <x:v>Simulated cost is not savings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5" t="str">
        <x:v>Workbook use</x:v>
      </x:c>
      <x:c r="B19" s="44" t="str"/>
      <x:c r="C19" s="44" t="str"/>
      <x:c r="D19" s="44" t="str"/>
      <x:c r="E19" s="44" t="str"/>
      <x:c r="F19" s="44" t="str"/>
      <x:c r="G19" s="44" t="str"/>
      <x:c r="H19" s="44" t="str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5" t="str">
        <x:v>Change the scenario and capacity</x:v>
      </x:c>
      <x:c r="B20" s="44" t="str">
        <x:v>Use the yellow controls on Policy Simulator. KPI values and action routing update through formulas.</x:v>
      </x:c>
      <x:c r="C20" s="44" t="str"/>
      <x:c r="D20" s="44" t="str"/>
      <x:c r="E20" s="44" t="str"/>
      <x:c r="F20" s="44" t="str"/>
      <x:c r="G20" s="44" t="str"/>
      <x:c r="H20" s="44" t="str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5" t="str">
        <x:v>Review the evidence</x:v>
      </x:c>
      <x:c r="B21" s="44" t="str">
        <x:v>Model Review shows the promotion case. Weekly Monitoring shows drift and calibration. Source Data retains the aggregate evidence.</x:v>
      </x:c>
      <x:c r="C21" s="44" t="str"/>
      <x:c r="D21" s="44" t="str"/>
      <x:c r="E21" s="44" t="str"/>
      <x:c r="F21" s="44" t="str"/>
      <x:c r="G21" s="44" t="str"/>
      <x:c r="H21" s="44" t="str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8FF9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Fraud operations policy simulator</x:v>
      </x:c>
      <x:c r="B2" s="2" t="str">
        <x:v>Fraud operations policy simulator</x:v>
      </x:c>
      <x:c r="C2" s="2" t="str">
        <x:v>Fraud operations policy simulator</x:v>
      </x:c>
      <x:c r="D2" s="2" t="str">
        <x:v>Fraud operations policy simulator</x:v>
      </x:c>
      <x:c r="E2" s="2" t="str">
        <x:v>Fraud operations policy simulator</x:v>
      </x:c>
      <x:c r="F2" s="2" t="str">
        <x:v>Fraud operations policy simulator</x:v>
      </x:c>
      <x:c r="G2" s="2" t="str">
        <x:v>Fraud operations policy simulator</x:v>
      </x:c>
      <x:c r="H2" s="2" t="str">
        <x:v>Fraud operations policy simulator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Scenario</x:v>
      </x:c>
      <x:c r="B5" s="38" t="str">
        <x:v>Balanced</x:v>
      </x:c>
      <x:c r="C5" s="1"/>
      <x:c r="D5" s="1" t="str">
        <x:v>Daily review capacity</x:v>
      </x:c>
      <x:c r="E5" s="38" t="n">
        <x:v>100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customHeight="1">
      <x:c r="A8" s="13" t="str">
        <x:v>Reviews/day</x:v>
      </x:c>
      <x:c r="B8" s="14" t="str">
        <x:v>Utilisation</x:v>
      </x:c>
      <x:c r="C8" s="14" t="str">
        <x:v>Intervention rate</x:v>
      </x:c>
      <x:c r="D8" s="14" t="str">
        <x:v>Fraud-case reach</x:v>
      </x:c>
      <x:c r="E8" s="14" t="str">
        <x:v>Fraud-exposure reach</x:v>
      </x:c>
      <x:c r="F8" s="14" t="str">
        <x:v>Prevented-exposure proxy</x:v>
      </x:c>
      <x:c r="G8" s="14" t="str">
        <x:v>Legitimate transactions interrupted</x:v>
      </x:c>
      <x:c r="H8" s="15" t="str">
        <x:v>Proxy cost reduction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1" t="n">
        <x:f>VLOOKUP($B$5&amp;"|"&amp;$E$5,'Source Data'!$A$7:$K$18,4,FALSE)</x:f>
        <x:v>83.83870967741936</x:v>
      </x:c>
      <x:c r="B9" s="42" t="n">
        <x:f>VLOOKUP($B$5&amp;"|"&amp;$E$5,'Source Data'!$A$7:$K$18,5,FALSE)</x:f>
        <x:v>0.8383870967741935</x:v>
      </x:c>
      <x:c r="C9" s="42" t="n">
        <x:f>VLOOKUP($B$5&amp;"|"&amp;$E$5,'Source Data'!$A$7:$K$18,6,FALSE)</x:f>
        <x:v>0.1198676917171854</x:v>
      </x:c>
      <x:c r="D9" s="42" t="n">
        <x:f>VLOOKUP($B$5&amp;"|"&amp;$E$5,'Source Data'!$A$7:$K$18,7,FALSE)</x:f>
        <x:v>0.6120661693156016</x:v>
      </x:c>
      <x:c r="E9" s="42" t="n">
        <x:f>VLOOKUP($B$5&amp;"|"&amp;$E$5,'Source Data'!$A$7:$K$18,8,FALSE)</x:f>
        <x:v>0.7993968895636799</x:v>
      </x:c>
      <x:c r="F9" s="42" t="n">
        <x:f>VLOOKUP($B$5&amp;"|"&amp;$E$5,'Source Data'!$A$7:$K$18,9,FALSE)</x:f>
        <x:v>0.5781622673111589</x:v>
      </x:c>
      <x:c r="G9" s="43" t="n">
        <x:f>VLOOKUP($B$5&amp;"|"&amp;$E$5,'Source Data'!$A$7:$K$18,10,FALSE)</x:f>
        <x:v>8731</x:v>
      </x:c>
      <x:c r="H9" s="43" t="n">
        <x:f>VLOOKUP($B$5&amp;"|"&amp;$E$5,'Source Data'!$A$7:$K$18,11,FALSE)</x:f>
        <x:v>118782.70851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4" customHeight="1">
      <x:c r="A12" s="13" t="str">
        <x:v>Action</x:v>
      </x:c>
      <x:c r="B12" s="14" t="str">
        <x:v>Transactions</x:v>
      </x:c>
      <x:c r="C12" s="14" t="str">
        <x:v>Observed fraud rate</x:v>
      </x:c>
      <x:c r="D12" s="15" t="str">
        <x:v>Average probability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7" t="str">
        <x:v>allow</x:v>
      </x:c>
      <x:c r="B13" s="26" t="n">
        <x:f>VLOOKUP($B$5&amp;"|"&amp;$E$5&amp;"|"&amp;$A13,'Source Data'!$A$23:$H$70,5,FALSE)</x:f>
        <x:v>77963</x:v>
      </x:c>
      <x:c r="C13" s="29" t="n">
        <x:f>VLOOKUP($B$5&amp;"|"&amp;$E$5&amp;"|"&amp;$A13,'Source Data'!$A$23:$H$70,6,FALSE)</x:f>
        <x:v>0.0153406102894963</x:v>
      </x:c>
      <x:c r="D13" s="29" t="n">
        <x:f>VLOOKUP($B$5&amp;"|"&amp;$E$5&amp;"|"&amp;$A13,'Source Data'!$A$23:$H$70,7,FALSE)</x:f>
        <x:v>0.015291493710316151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step_up</x:v>
      </x:c>
      <x:c r="B14" s="27" t="n">
        <x:f>VLOOKUP($B$5&amp;"|"&amp;$E$5&amp;"|"&amp;$A14,'Source Data'!$A$23:$H$70,5,FALSE)</x:f>
        <x:v>6451</x:v>
      </x:c>
      <x:c r="C14" s="30" t="n">
        <x:f>VLOOKUP($B$5&amp;"|"&amp;$E$5&amp;"|"&amp;$A14,'Source Data'!$A$23:$H$70,6,FALSE)</x:f>
        <x:v>0.08417299643466129</x:v>
      </x:c>
      <x:c r="D14" s="30" t="n">
        <x:f>VLOOKUP($B$5&amp;"|"&amp;$E$5&amp;"|"&amp;$A14,'Source Data'!$A$23:$H$70,7,FALSE)</x:f>
        <x:v>0.10181137431525981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8" t="str">
        <x:v>review</x:v>
      </x:c>
      <x:c r="B15" s="27" t="n">
        <x:f>VLOOKUP($B$5&amp;"|"&amp;$E$5&amp;"|"&amp;$A15,'Source Data'!$A$23:$H$70,5,FALSE)</x:f>
        <x:v>2599</x:v>
      </x:c>
      <x:c r="C15" s="30" t="n">
        <x:f>VLOOKUP($B$5&amp;"|"&amp;$E$5&amp;"|"&amp;$A15,'Source Data'!$A$23:$H$70,6,FALSE)</x:f>
        <x:v>0.12158522508657175</x:v>
      </x:c>
      <x:c r="D15" s="30" t="n">
        <x:f>VLOOKUP($B$5&amp;"|"&amp;$E$5&amp;"|"&amp;$A15,'Source Data'!$A$23:$H$70,7,FALSE)</x:f>
        <x:v>0.1567879547872758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9" t="str">
        <x:v>block</x:v>
      </x:c>
      <x:c r="B16" s="28" t="n">
        <x:f>VLOOKUP($B$5&amp;"|"&amp;$E$5&amp;"|"&amp;$A16,'Source Data'!$A$23:$H$70,5,FALSE)</x:f>
        <x:v>1568</x:v>
      </x:c>
      <x:c r="C16" s="31" t="n">
        <x:f>VLOOKUP($B$5&amp;"|"&amp;$E$5&amp;"|"&amp;$A16,'Source Data'!$A$23:$H$70,6,FALSE)</x:f>
        <x:v>0.6556122448979592</x:v>
      </x:c>
      <x:c r="D16" s="31" t="n">
        <x:f>VLOOKUP($B$5&amp;"|"&amp;$E$5&amp;"|"&amp;$A16,'Source Data'!$A$23:$H$70,7,FALSE)</x:f>
        <x:v>0.7332016734805762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5" t="str">
        <x:v>Interpretation</x:v>
      </x:c>
      <x:c r="B19" s="44" t="str"/>
      <x:c r="C19" s="44" t="str"/>
      <x:c r="D19" s="44" t="str"/>
      <x:c r="E19" s="44" t="str"/>
      <x:c r="F19" s="44" t="str"/>
      <x:c r="G19" s="44" t="str"/>
      <x:c r="H19" s="44" t="str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5" t="str">
        <x:v>Reference decision</x:v>
      </x:c>
      <x:c r="B20" s="44" t="str">
        <x:v>Advance the GBM challenger to shadow mode. Do not enable automatic blocking.</x:v>
      </x:c>
      <x:c r="C20" s="44" t="str"/>
      <x:c r="D20" s="44" t="str"/>
      <x:c r="E20" s="44" t="str"/>
      <x:c r="F20" s="44" t="str"/>
      <x:c r="G20" s="44" t="str"/>
      <x:c r="H20" s="44" t="str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5" t="str">
        <x:v>Claims boundary</x:v>
      </x:c>
      <x:c r="B21" s="44" t="str">
        <x:v>Cost reduction and prevented exposure are scenario outputs based on explicit assumptions. Transaction amount is exposure, not confirmed loss.</x:v>
      </x:c>
      <x:c r="C21" s="44" t="str"/>
      <x:c r="D21" s="44" t="str"/>
      <x:c r="E21" s="44" t="str"/>
      <x:c r="F21" s="44" t="str"/>
      <x:c r="G21" s="44" t="str"/>
      <x:c r="H21" s="44" t="str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  <x:mergeCell ref="B19:H19"/>
    <x:mergeCell ref="B20:H20"/>
    <x:mergeCell ref="B21:H21"/>
  </x:mergeCells>
  <x:dataValidations count="2">
    <x:dataValidation type="list" sqref="B5">
      <x:formula1>"Customer first,Balanced,Loss first"</x:formula1>
    </x:dataValidation>
    <x:dataValidation type="list" sqref="E5">
      <x:formula1>"50,100,250,500"</x:formula1>
    </x:dataValidation>
  </x:dataValidations>
  <x:pageMargins left="0.7" right="0.7" top="0.75" bottom="0.75" header="0.3" footer="0.3"/>
  <x:drawing xmlns:r="http://schemas.openxmlformats.org/officeDocument/2006/relationships" r:id="Rb53fce128d374743"/>
</x:worksheet>
</file>

<file path=xl/worksheets/sheet3.xml><?xml version="1.0" encoding="utf-8"?>
<x:worksheet xmlns:x="http://schemas.openxmlformats.org/spreadsheetml/2006/main">
  <x:sheetPr>
    <x:tabColor rgb="FF5B8FF9"/>
  </x:sheetPr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1.779998779296875" hidden="0" customWidth="1"/>
    <x:col min="4" max="4" width="51.779998779296875" hidden="0" customWidth="1"/>
    <x:col min="5" max="5" width="51.779998779296875" hidden="0" customWidth="1"/>
    <x:col min="6" max="6" width="51.779998779296875" hidden="0" customWidth="1"/>
    <x:col min="7" max="7" width="51.779998779296875" hidden="0" customWidth="1"/>
    <x:col min="8" max="8" width="51.779998779296875" hidden="0" customWidth="1"/>
    <x:col min="10" max="10" width="24" hidden="0" customWidth="1"/>
    <x:col min="11" max="11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Model comparison on locked out-of-time data</x:v>
      </x:c>
      <x:c r="B2" s="2" t="str">
        <x:v>Model comparison on locked out-of-time data</x:v>
      </x:c>
      <x:c r="C2" s="2" t="str">
        <x:v>Model comparison on locked out-of-time data</x:v>
      </x:c>
      <x:c r="D2" s="2" t="str">
        <x:v>Model comparison on locked out-of-time data</x:v>
      </x:c>
      <x:c r="E2" s="2" t="str">
        <x:v>Model comparison on locked out-of-time data</x:v>
      </x:c>
      <x:c r="F2" s="2" t="str">
        <x:v>Model comparison on locked out-of-time data</x:v>
      </x:c>
      <x:c r="G2" s="2" t="str">
        <x:v>Model comparison on locked out-of-time data</x:v>
      </x:c>
      <x:c r="H2" s="2" t="str">
        <x:v>Model comparison on locked out-of-time data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customHeight="1">
      <x:c r="A5" s="13" t="str">
        <x:v>Model</x:v>
      </x:c>
      <x:c r="B5" s="14" t="str">
        <x:v>Key</x:v>
      </x:c>
      <x:c r="C5" s="14" t="str">
        <x:v>Average precision</x:v>
      </x:c>
      <x:c r="D5" s="14" t="str">
        <x:v>ROC-AUC</x:v>
      </x:c>
      <x:c r="E5" s="14" t="str">
        <x:v>Brier score</x:v>
      </x:c>
      <x:c r="F5" s="14" t="str">
        <x:v>Precision@100</x:v>
      </x:c>
      <x:c r="G5" s="14" t="str">
        <x:v>Recall@100</x:v>
      </x:c>
      <x:c r="H5" s="15" t="str">
        <x:v>Exposure captured@100</x:v>
      </x:c>
      <x:c r="I5" s="1"/>
      <x:c r="J5" s="13" t="str">
        <x:v>Decision metric</x:v>
      </x:c>
      <x:c r="K5" s="15" t="str">
        <x:v>Result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7" t="str">
        <x:v>Rules</x:v>
      </x:c>
      <x:c r="B6" s="17" t="str">
        <x:v>rules</x:v>
      </x:c>
      <x:c r="C6" s="32" t="n">
        <x:v>0.06475241177308845</x:v>
      </x:c>
      <x:c r="D6" s="32" t="n">
        <x:v>0.6866581913432379</x:v>
      </x:c>
      <x:c r="E6" s="32" t="n">
        <x:v>0.033217081333032854</x:v>
      </x:c>
      <x:c r="F6" s="32" t="n">
        <x:v>0.07870967741935483</x:v>
      </x:c>
      <x:c r="G6" s="32" t="n">
        <x:v>0.08108133385260494</x:v>
      </x:c>
      <x:c r="H6" s="32" t="n">
        <x:v>0.18484770055738522</x:v>
      </x:c>
      <x:c r="I6" s="1"/>
      <x:c r="J6" s="17" t="str">
        <x:v>AP uplift vs linear</x:v>
      </x:c>
      <x:c r="K6" s="23" t="n">
        <x:f>C9/C7-1</x:f>
        <x:v>3.1974611495900973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" t="str">
        <x:v>Linear baseline</x:v>
      </x:c>
      <x:c r="B7" s="18" t="str">
        <x:v>linear</x:v>
      </x:c>
      <x:c r="C7" s="33" t="n">
        <x:v>0.10951673987087393</x:v>
      </x:c>
      <x:c r="D7" s="33" t="n">
        <x:v>0.7109742233567639</x:v>
      </x:c>
      <x:c r="E7" s="33" t="n">
        <x:v>0.03319166065564561</x:v>
      </x:c>
      <x:c r="F7" s="33" t="n">
        <x:v>0.14161290322580644</x:v>
      </x:c>
      <x:c r="G7" s="33" t="n">
        <x:v>0.1428347517568627</x:v>
      </x:c>
      <x:c r="H7" s="33" t="n">
        <x:v>0.10288587595584044</x:v>
      </x:c>
      <x:c r="I7" s="1"/>
      <x:c r="J7" s="18" t="str">
        <x:v>Precision@100 uplift</x:v>
      </x:c>
      <x:c r="K7" s="24" t="n">
        <x:f>F9/F7-1</x:f>
        <x:v>1.4510250569476084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str">
        <x:v>GBM transaction</x:v>
      </x:c>
      <x:c r="B8" s="18" t="str">
        <x:v>gbm_transaction</x:v>
      </x:c>
      <x:c r="C8" s="33" t="n">
        <x:v>0.4608689910284057</x:v>
      </x:c>
      <x:c r="D8" s="33" t="n">
        <x:v>0.8803450148517206</x:v>
      </x:c>
      <x:c r="E8" s="33" t="n">
        <x:v>0.024139825940593107</x:v>
      </x:c>
      <x:c r="F8" s="33" t="n">
        <x:v>0.34838709677419355</x:v>
      </x:c>
      <x:c r="G8" s="33" t="n">
        <x:v>0.35804712214255374</x:v>
      </x:c>
      <x:c r="H8" s="33" t="n">
        <x:v>0.3243731192908206</x:v>
      </x:c>
      <x:c r="I8" s="1"/>
      <x:c r="J8" s="19" t="str">
        <x:v>Identity incremental lift</x:v>
      </x:c>
      <x:c r="K8" s="19" t="str">
        <x:v>Not established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str">
        <x:v>GBM + identity</x:v>
      </x:c>
      <x:c r="B9" s="18" t="str">
        <x:v>gbm_plus_identity</x:v>
      </x:c>
      <x:c r="C9" s="33" t="n">
        <x:v>0.45969226083775816</x:v>
      </x:c>
      <x:c r="D9" s="33" t="n">
        <x:v>0.8827190472773557</x:v>
      </x:c>
      <x:c r="E9" s="33" t="n">
        <x:v>0.024192064595778395</x:v>
      </x:c>
      <x:c r="F9" s="33" t="n">
        <x:v>0.3470967741935484</x:v>
      </x:c>
      <x:c r="G9" s="33" t="n">
        <x:v>0.3567011697480654</x:v>
      </x:c>
      <x:c r="H9" s="33" t="n">
        <x:v>0.33132154845242245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9" t="str">
        <x:v>GBM + behaviour</x:v>
      </x:c>
      <x:c r="B10" s="19" t="str">
        <x:v>gbm_plus_behaviour</x:v>
      </x:c>
      <x:c r="C10" s="34" t="n">
        <x:v>0.45503697924576636</x:v>
      </x:c>
      <x:c r="D10" s="34" t="n">
        <x:v>0.8780986654085731</x:v>
      </x:c>
      <x:c r="E10" s="34" t="n">
        <x:v>0.024354225327621094</x:v>
      </x:c>
      <x:c r="F10" s="34" t="n">
        <x:v>0.3461290322580645</x:v>
      </x:c>
      <x:c r="G10" s="34" t="n">
        <x:v>0.3553409831069989</x:v>
      </x:c>
      <x:c r="H10" s="34" t="n">
        <x:v>0.3305063017245285</x:v>
      </x:c>
      <x:c r="I10" s="1"/>
      <x:c r="J10" s="35" t="str">
        <x:v>Promotion</x:v>
      </x:c>
      <x:c r="K10" s="1" t="str">
        <x:v>Shadow mode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35" t="str">
        <x:v>Fallback</x:v>
      </x:c>
      <x:c r="K11" s="1" t="str">
        <x:v>GBM transaction-only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35" t="str">
        <x:v>Reason</x:v>
      </x:c>
      <x:c r="K12" s="44" t="str">
        <x:v>Nonlinear family improves ranking. Identity lift confidence interval crosses zero.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6ffc7678336d4109"/>
</x:worksheet>
</file>

<file path=xl/worksheets/sheet4.xml><?xml version="1.0" encoding="utf-8"?>
<x:worksheet xmlns:x="http://schemas.openxmlformats.org/spreadsheetml/2006/main">
  <x:sheetPr>
    <x:tabColor rgb="FF5B8FF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47" hidden="0" customWidth="1"/>
    <x:col min="4" max="4" width="47" hidden="0" customWidth="1"/>
    <x:col min="5" max="5" width="47" hidden="0" customWidth="1"/>
    <x:col min="6" max="6" width="47" hidden="0" customWidth="1"/>
    <x:col min="7" max="7" width="47" hidden="0" customWidth="1"/>
    <x:col min="8" max="8" width="47" hidden="0" customWidth="1"/>
    <x:col min="9" max="9" width="47" hidden="0" customWidth="1"/>
    <x:col min="10" max="10" width="47" hidden="0" customWidth="1"/>
    <x:col min="11" max="11" width="47" hidden="0" customWidth="1"/>
    <x:col min="12" max="12" width="4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Weekly model and operations monitoring</x:v>
      </x:c>
      <x:c r="B2" s="2" t="str">
        <x:v>Weekly model and operations monitoring</x:v>
      </x:c>
      <x:c r="C2" s="2" t="str">
        <x:v>Weekly model and operations monitoring</x:v>
      </x:c>
      <x:c r="D2" s="2" t="str">
        <x:v>Weekly model and operations monitoring</x:v>
      </x:c>
      <x:c r="E2" s="2" t="str">
        <x:v>Weekly model and operations monitoring</x:v>
      </x:c>
      <x:c r="F2" s="2" t="str">
        <x:v>Weekly model and operations monitoring</x:v>
      </x:c>
      <x:c r="G2" s="2" t="str">
        <x:v>Weekly model and operations monitoring</x:v>
      </x:c>
      <x:c r="H2" s="2" t="str">
        <x:v>Weekly model and operations monitoring</x:v>
      </x:c>
      <x:c r="I2" s="2" t="str">
        <x:v>Weekly model and operations monitoring</x:v>
      </x:c>
      <x:c r="J2" s="2" t="str">
        <x:v>Weekly model and operations monitoring</x:v>
      </x:c>
      <x:c r="K2" s="2" t="str">
        <x:v>Weekly model and operations monitoring</x:v>
      </x:c>
      <x:c r="L2" s="2" t="str">
        <x:v>Weekly model and operations monitoring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customHeight="1">
      <x:c r="A5" s="13" t="str">
        <x:v>Week</x:v>
      </x:c>
      <x:c r="B5" s="14" t="str">
        <x:v>Rows</x:v>
      </x:c>
      <x:c r="C5" s="14" t="str">
        <x:v>Fraud rate</x:v>
      </x:c>
      <x:c r="D5" s="14" t="str">
        <x:v>Average probability</x:v>
      </x:c>
      <x:c r="E5" s="14" t="str">
        <x:v>Average precision</x:v>
      </x:c>
      <x:c r="F5" s="14" t="str">
        <x:v>Brier score</x:v>
      </x:c>
      <x:c r="G5" s="14" t="str">
        <x:v>ECE</x:v>
      </x:c>
      <x:c r="H5" s="14" t="str">
        <x:v>Score PSI</x:v>
      </x:c>
      <x:c r="I5" s="14" t="str">
        <x:v>Amount PSI</x:v>
      </x:c>
      <x:c r="J5" s="14" t="str">
        <x:v>Identity coverage</x:v>
      </x:c>
      <x:c r="K5" s="14" t="str">
        <x:v>New-entity rate</x:v>
      </x:c>
      <x:c r="L5" s="15" t="str">
        <x:v>Precision@100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6" t="n">
        <x:v>21</x:v>
      </x:c>
      <x:c r="B6" s="26" t="n">
        <x:v>6256</x:v>
      </x:c>
      <x:c r="C6" s="32" t="n">
        <x:v>0.03436700767263427</x:v>
      </x:c>
      <x:c r="D6" s="32" t="n">
        <x:v>0.03579287731801559</x:v>
      </x:c>
      <x:c r="E6" s="32" t="n">
        <x:v>0.5826021985298915</x:v>
      </x:c>
      <x:c r="F6" s="32" t="n">
        <x:v>0.020072249258321555</x:v>
      </x:c>
      <x:c r="G6" s="32" t="n">
        <x:v>0.004766381469258543</x:v>
      </x:c>
      <x:c r="H6" s="32" t="n">
        <x:v>0.014062917844047354</x:v>
      </x:c>
      <x:c r="I6" s="32" t="n">
        <x:v>0.013442684778037919</x:v>
      </x:c>
      <x:c r="J6" s="32" t="n">
        <x:v>0.15377237851662404</x:v>
      </x:c>
      <x:c r="K6" s="32" t="n">
        <x:v>0.07752557544757033</x:v>
      </x:c>
      <x:c r="L6" s="32" t="n">
        <x:v>0.4044943820224719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7" t="n">
        <x:v>22</x:v>
      </x:c>
      <x:c r="B7" s="27" t="n">
        <x:v>20740</x:v>
      </x:c>
      <x:c r="C7" s="33" t="n">
        <x:v>0.02849566055930569</x:v>
      </x:c>
      <x:c r="D7" s="33" t="n">
        <x:v>0.03395740658562304</x:v>
      </x:c>
      <x:c r="E7" s="33" t="n">
        <x:v>0.43936058633854985</x:v>
      </x:c>
      <x:c r="F7" s="33" t="n">
        <x:v>0.02068084748117821</x:v>
      </x:c>
      <x:c r="G7" s="33" t="n">
        <x:v>0.006028916939830488</x:v>
      </x:c>
      <x:c r="H7" s="33" t="n">
        <x:v>0.03133804874522373</x:v>
      </x:c>
      <x:c r="I7" s="33" t="n">
        <x:v>0.011831555877059023</x:v>
      </x:c>
      <x:c r="J7" s="33" t="n">
        <x:v>0.17791706846673094</x:v>
      </x:c>
      <x:c r="K7" s="33" t="n">
        <x:v>0.0787367405978785</x:v>
      </x:c>
      <x:c r="L7" s="33" t="n">
        <x:v>0.31857142857142856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7" t="n">
        <x:v>23</x:v>
      </x:c>
      <x:c r="B8" s="27" t="n">
        <x:v>20944</x:v>
      </x:c>
      <x:c r="C8" s="33" t="n">
        <x:v>0.032515278838808254</x:v>
      </x:c>
      <x:c r="D8" s="33" t="n">
        <x:v>0.040025190510839255</x:v>
      </x:c>
      <x:c r="E8" s="33" t="n">
        <x:v>0.38986079871603646</x:v>
      </x:c>
      <x:c r="F8" s="33" t="n">
        <x:v>0.024343034311194015</x:v>
      </x:c>
      <x:c r="G8" s="33" t="n">
        <x:v>0.007509911672031001</x:v>
      </x:c>
      <x:c r="H8" s="33" t="n">
        <x:v>0.05394442730267607</x:v>
      </x:c>
      <x:c r="I8" s="33" t="n">
        <x:v>0.00453140392882332</x:v>
      </x:c>
      <x:c r="J8" s="33" t="n">
        <x:v>0.2610294117647059</x:v>
      </x:c>
      <x:c r="K8" s="33" t="n">
        <x:v>0.08427234530175706</x:v>
      </x:c>
      <x:c r="L8" s="33" t="n">
        <x:v>0.33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7" t="n">
        <x:v>24</x:v>
      </x:c>
      <x:c r="B9" s="27" t="n">
        <x:v>20206</x:v>
      </x:c>
      <x:c r="C9" s="33" t="n">
        <x:v>0.03667227556171434</x:v>
      </x:c>
      <x:c r="D9" s="33" t="n">
        <x:v>0.03922301148037418</x:v>
      </x:c>
      <x:c r="E9" s="33" t="n">
        <x:v>0.4962764102597097</x:v>
      </x:c>
      <x:c r="F9" s="33" t="n">
        <x:v>0.024558973574536565</x:v>
      </x:c>
      <x:c r="G9" s="33" t="n">
        <x:v>0.0034299310161247125</x:v>
      </x:c>
      <x:c r="H9" s="33" t="n">
        <x:v>0.06339266046919285</x:v>
      </x:c>
      <x:c r="I9" s="33" t="n">
        <x:v>0.008909898641490333</x:v>
      </x:c>
      <x:c r="J9" s="33" t="n">
        <x:v>0.23463327724438285</x:v>
      </x:c>
      <x:c r="K9" s="33" t="n">
        <x:v>0.0757200831436207</x:v>
      </x:c>
      <x:c r="L9" s="33" t="n">
        <x:v>0.36428571428571427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7" t="n">
        <x:v>25</x:v>
      </x:c>
      <x:c r="B10" s="27" t="n">
        <x:v>17681</x:v>
      </x:c>
      <x:c r="C10" s="33" t="n">
        <x:v>0.04162660483004355</x:v>
      </x:c>
      <x:c r="D10" s="33" t="n">
        <x:v>0.04121500058175211</x:v>
      </x:c>
      <x:c r="E10" s="33" t="n">
        <x:v>0.4630016590028908</x:v>
      </x:c>
      <x:c r="F10" s="33" t="n">
        <x:v>0.028639816424796162</x:v>
      </x:c>
      <x:c r="G10" s="33" t="n">
        <x:v>0.007585447023215861</x:v>
      </x:c>
      <x:c r="H10" s="33" t="n">
        <x:v>0.0418498933466083</x:v>
      </x:c>
      <x:c r="I10" s="33" t="n">
        <x:v>0.010132155430029093</x:v>
      </x:c>
      <x:c r="J10" s="33" t="n">
        <x:v>0.18675414286522254</x:v>
      </x:c>
      <x:c r="K10" s="33" t="n">
        <x:v>0.0760703580114247</x:v>
      </x:c>
      <x:c r="L10" s="33" t="n">
        <x:v>0.3557142857142857</x:v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8" t="n">
        <x:v>26</x:v>
      </x:c>
      <x:c r="B11" s="28" t="n">
        <x:v>2754</x:v>
      </x:c>
      <x:c r="C11" s="34" t="n">
        <x:v>0.043209876543209874</x:v>
      </x:c>
      <x:c r="D11" s="34" t="n">
        <x:v>0.04297784311911678</x:v>
      </x:c>
      <x:c r="E11" s="34" t="n">
        <x:v>0.5406597325976706</x:v>
      </x:c>
      <x:c r="F11" s="34" t="n">
        <x:v>0.027597959684602828</x:v>
      </x:c>
      <x:c r="G11" s="34" t="n">
        <x:v>0.0038917156320573214</x:v>
      </x:c>
      <x:c r="H11" s="34" t="n">
        <x:v>0.04956224824738522</x:v>
      </x:c>
      <x:c r="I11" s="34" t="n">
        <x:v>0.03311980067933211</x:v>
      </x:c>
      <x:c r="J11" s="34" t="n">
        <x:v>0.18373275236020334</x:v>
      </x:c>
      <x:c r="K11" s="34" t="n">
        <x:v>0.07407407407407407</x:v>
      </x:c>
      <x:c r="L11" s="34" t="n">
        <x:v>0.43</x:v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4" customHeight="1">
      <x:c r="A14" s="13" t="str">
        <x:v>Monitoring gate</x:v>
      </x:c>
      <x:c r="B14" s="14" t="str">
        <x:v>Observed maximum</x:v>
      </x:c>
      <x:c r="C14" s="14" t="str">
        <x:v>Amber</x:v>
      </x:c>
      <x:c r="D14" s="15" t="str">
        <x:v>Red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7" t="str">
        <x:v>Score PSI</x:v>
      </x:c>
      <x:c r="B15" s="32" t="n">
        <x:f>MAX(H6:H11)</x:f>
        <x:v>0.06339266046919285</x:v>
      </x:c>
      <x:c r="C15" s="32" t="n">
        <x:v>0.1</x:v>
      </x:c>
      <x:c r="D15" s="32" t="n">
        <x:v>0.2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8" t="str">
        <x:v>Amount PSI</x:v>
      </x:c>
      <x:c r="B16" s="33" t="n">
        <x:f>MAX(I6:I11)</x:f>
        <x:v>0.03311980067933211</x:v>
      </x:c>
      <x:c r="C16" s="33" t="n">
        <x:v>0.1</x:v>
      </x:c>
      <x:c r="D16" s="33" t="n">
        <x:v>0.2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9" t="str">
        <x:v>ECE</x:v>
      </x:c>
      <x:c r="B17" s="34" t="n">
        <x:f>MAX(G6:G11)</x:f>
        <x:v>0.007585447023215861</x:v>
      </x:c>
      <x:c r="C17" s="34" t="n">
        <x:v>0.02</x:v>
      </x:c>
      <x:c r="D17" s="34" t="n">
        <x:v>0.04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L2"/>
  </x:mergeCells>
  <x:conditionalFormatting sqref="H6:H11">
    <x:cfRule type="cellIs" dxfId="0" priority="1" operator="greaterThanOrEqual">
      <x:formula>0.1</x:formula>
    </x:cfRule>
    <x:cfRule type="cellIs" dxfId="1" priority="2" operator="greaterThanOrEqual">
      <x:formula>0.2</x:formula>
    </x:cfRule>
  </x:conditionalFormatting>
  <x:conditionalFormatting sqref="G6:G11">
    <x:cfRule type="cellIs" dxfId="2" priority="3" operator="greaterThanOrEqual">
      <x:formula>0.02</x:formula>
    </x:cfRule>
  </x:conditionalFormatting>
  <x:pageMargins left="0.7" right="0.7" top="0.75" bottom="0.75" header="0.3" footer="0.3"/>
  <x:drawing xmlns:r="http://schemas.openxmlformats.org/officeDocument/2006/relationships" r:id="R0a1a99989f7648a7"/>
</x:worksheet>
</file>

<file path=xl/worksheets/sheet5.xml><?xml version="1.0" encoding="utf-8"?>
<x:worksheet xmlns:x="http://schemas.openxmlformats.org/spreadsheetml/2006/main">
  <x:sheetPr>
    <x:tabColor rgb="FF5B8FF9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4.11000061035156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4.1100006103515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IEEE-CIS data profile</x:v>
      </x:c>
      <x:c r="B2" s="2" t="str">
        <x:v>IEEE-CIS data profile</x:v>
      </x:c>
      <x:c r="C2" s="2" t="str">
        <x:v>IEEE-CIS data profile</x:v>
      </x:c>
      <x:c r="D2" s="2" t="str">
        <x:v>IEEE-CIS data profile</x:v>
      </x:c>
      <x:c r="E2" s="2" t="str">
        <x:v>IEEE-CIS data profile</x:v>
      </x:c>
      <x:c r="F2" s="2" t="str">
        <x:v>IEEE-CIS data profile</x:v>
      </x:c>
      <x:c r="G2" s="2" t="str">
        <x:v>IEEE-CIS data profile</x:v>
      </x:c>
      <x:c r="H2" s="2" t="str">
        <x:v>IEEE-CIS data profile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customHeight="1">
      <x:c r="A5" s="13" t="str">
        <x:v>Metric</x:v>
      </x:c>
      <x:c r="B5" s="15" t="str">
        <x:v>Value</x:v>
      </x:c>
      <x:c r="C5" s="1"/>
      <x:c r="D5" s="13" t="str">
        <x:v>Finding</x:v>
      </x:c>
      <x:c r="E5" s="14" t="str">
        <x:v>Evidence</x:v>
      </x:c>
      <x:c r="F5" s="14" t="str">
        <x:v>Implication</x:v>
      </x:c>
      <x:c r="G5" s="14" t="str">
        <x:v>Control</x:v>
      </x:c>
      <x:c r="H5" s="15" t="str">
        <x:v>Status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7" t="str">
        <x:v>Transactions</x:v>
      </x:c>
      <x:c r="B6" s="26" t="n">
        <x:v>590540</x:v>
      </x:c>
      <x:c r="C6" s="1"/>
      <x:c r="D6" s="17" t="str">
        <x:v>Rare target</x:v>
      </x:c>
      <x:c r="E6" s="17" t="str">
        <x:v>3.50% fraud rate</x:v>
      </x:c>
      <x:c r="F6" s="17" t="str">
        <x:v>Accuracy is misleading</x:v>
      </x:c>
      <x:c r="G6" s="17" t="str">
        <x:v>Use AP and top-k metrics</x:v>
      </x:c>
      <x:c r="H6" s="49" t="str">
        <x:v>Addressed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" t="str">
        <x:v>Fraud cases</x:v>
      </x:c>
      <x:c r="B7" s="27" t="n">
        <x:v>20663</x:v>
      </x:c>
      <x:c r="C7" s="1"/>
      <x:c r="D7" s="18" t="str">
        <x:v>Partial identity</x:v>
      </x:c>
      <x:c r="E7" s="18" t="str">
        <x:v>24.42% joined</x:v>
      </x:c>
      <x:c r="F7" s="18" t="str">
        <x:v>Missing identity cannot imply low risk</x:v>
      </x:c>
      <x:c r="G7" s="18" t="str">
        <x:v>Explicit missingness and ablation</x:v>
      </x:c>
      <x:c r="H7" s="50" t="str">
        <x:v>Addressed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str">
        <x:v>Fraud rate</x:v>
      </x:c>
      <x:c r="B8" s="30" t="n">
        <x:v>0.03499000914417313</x:v>
      </x:c>
      <x:c r="C8" s="1"/>
      <x:c r="D8" s="18" t="str">
        <x:v>Temporal instability</x:v>
      </x:c>
      <x:c r="E8" s="18" t="str">
        <x:v>Weekly fraud rate 1.85%–5.06%</x:v>
      </x:c>
      <x:c r="F8" s="18" t="str">
        <x:v>Random split overstates transfer</x:v>
      </x:c>
      <x:c r="G8" s="18" t="str">
        <x:v>Chronological locked OOT</x:v>
      </x:c>
      <x:c r="H8" s="50" t="str">
        <x:v>Addressed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str">
        <x:v>Elapsed days</x:v>
      </x:c>
      <x:c r="B9" s="27" t="n">
        <x:v>182</x:v>
      </x:c>
      <x:c r="C9" s="1"/>
      <x:c r="D9" s="18" t="str">
        <x:v>Entity concentration</x:v>
      </x:c>
      <x:c r="E9" s="18" t="str">
        <x:v>Top 1% contains 24.71% of fraud cases</x:v>
      </x:c>
      <x:c r="F9" s="18" t="str">
        <x:v>Duplicate alerts waste capacity</x:v>
      </x:c>
      <x:c r="G9" s="18" t="str">
        <x:v>Daily entity deduplication</x:v>
      </x:c>
      <x:c r="H9" s="50" t="str">
        <x:v>Addressed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str">
        <x:v>Transaction columns</x:v>
      </x:c>
      <x:c r="B10" s="27" t="n">
        <x:v>394</x:v>
      </x:c>
      <x:c r="C10" s="1"/>
      <x:c r="D10" s="19" t="str">
        <x:v>Anonymous features</x:v>
      </x:c>
      <x:c r="E10" s="19" t="str">
        <x:v>Business semantics limited</x:v>
      </x:c>
      <x:c r="F10" s="19" t="str">
        <x:v>Reason codes need caution</x:v>
      </x:c>
      <x:c r="G10" s="19" t="str">
        <x:v>Claims boundary and shadow mode</x:v>
      </x:c>
      <x:c r="H10" s="51" t="str">
        <x:v>Open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str">
        <x:v>Identity features</x:v>
      </x:c>
      <x:c r="B11" s="27" t="n">
        <x:v>40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8" t="str">
        <x:v>Identity coverage</x:v>
      </x:c>
      <x:c r="B12" s="24" t="n">
        <x:v>0.2442391709283029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8" t="str">
        <x:v>Repeat-entity transaction share</x:v>
      </x:c>
      <x:c r="B13" s="24" t="n">
        <x:v>0.9210739323331188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Top 1% proxy-entity fraud-case share</x:v>
      </x:c>
      <x:c r="B14" s="24" t="n">
        <x:v>0.24705996225136717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9" t="str">
        <x:v>Total transaction exposure</x:v>
      </x:c>
      <x:c r="B15" s="28" t="n">
        <x:v>79738948.735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575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.779998779296875" hidden="0" customWidth="1"/>
    <x:col min="4" max="4" width="39.779998779296875" hidden="0" customWidth="1"/>
    <x:col min="5" max="5" width="39.779998779296875" hidden="0" customWidth="1"/>
    <x:col min="6" max="6" width="39.779998779296875" hidden="0" customWidth="1"/>
    <x:col min="7" max="7" width="39.779998779296875" hidden="0" customWidth="1"/>
    <x:col min="8" max="8" width="39.779998779296875" hidden="0" customWidth="1"/>
    <x:col min="9" max="9" width="39.779998779296875" hidden="0" customWidth="1"/>
    <x:col min="10" max="10" width="39.779998779296875" hidden="0" customWidth="1"/>
    <x:col min="11" max="11" width="39.779998779296875" hidden="0" customWidth="1"/>
    <x:col min="12" max="12" width="39.7799987792968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5" customHeight="1">
      <x:c r="A2" s="2" t="str">
        <x:v>Source data used by the workbook</x:v>
      </x:c>
      <x:c r="B2" s="2" t="str">
        <x:v>Source data used by the workbook</x:v>
      </x:c>
      <x:c r="C2" s="2" t="str">
        <x:v>Source data used by the workbook</x:v>
      </x:c>
      <x:c r="D2" s="2" t="str">
        <x:v>Source data used by the workbook</x:v>
      </x:c>
      <x:c r="E2" s="2" t="str">
        <x:v>Source data used by the workbook</x:v>
      </x:c>
      <x:c r="F2" s="2" t="str">
        <x:v>Source data used by the workbook</x:v>
      </x:c>
      <x:c r="G2" s="2" t="str">
        <x:v>Source data used by the workbook</x:v>
      </x:c>
      <x:c r="H2" s="2" t="str">
        <x:v>Source data used by the workbook</x:v>
      </x:c>
      <x:c r="I2" s="2" t="str">
        <x:v>Source data used by the workbook</x:v>
      </x:c>
      <x:c r="J2" s="2" t="str">
        <x:v>Source data used by the workbook</x:v>
      </x:c>
      <x:c r="K2" s="2" t="str">
        <x:v>Source data used by the workbook</x:v>
      </x:c>
      <x:c r="L2" s="2" t="str">
        <x:v>Source data used by the workbook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 t="str">
        <x:v>Aggregate outputs generated by the repository pipeline. Raw IEEE-CIS competition data is not redistributed.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4" customHeight="1">
      <x:c r="A6" s="13" t="str">
        <x:v>Key</x:v>
      </x:c>
      <x:c r="B6" s="14" t="str">
        <x:v>Scenario</x:v>
      </x:c>
      <x:c r="C6" s="14" t="str">
        <x:v>Capacity</x:v>
      </x:c>
      <x:c r="D6" s="14" t="str">
        <x:v>Reviews/day</x:v>
      </x:c>
      <x:c r="E6" s="14" t="str">
        <x:v>Utilisation</x:v>
      </x:c>
      <x:c r="F6" s="14" t="str">
        <x:v>Intervention rate</x:v>
      </x:c>
      <x:c r="G6" s="14" t="str">
        <x:v>Fraud-case reach</x:v>
      </x:c>
      <x:c r="H6" s="14" t="str">
        <x:v>Fraud-exposure reach</x:v>
      </x:c>
      <x:c r="I6" s="14" t="str">
        <x:v>Prevented-exposure proxy</x:v>
      </x:c>
      <x:c r="J6" s="14" t="str">
        <x:v>Legitimate transactions interrupted</x:v>
      </x:c>
      <x:c r="K6" s="15" t="str">
        <x:v>Proxy cost reduction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7" t="str">
        <x:v>Balanced|50</x:v>
      </x:c>
      <x:c r="B7" s="17" t="str">
        <x:v>Balanced</x:v>
      </x:c>
      <x:c r="C7" s="20" t="n">
        <x:v>50</x:v>
      </x:c>
      <x:c r="D7" s="20" t="n">
        <x:v>50</x:v>
      </x:c>
      <x:c r="E7" s="23" t="n">
        <x:v>1</x:v>
      </x:c>
      <x:c r="F7" s="23" t="n">
        <x:v>0.1198676917171854</x:v>
      </x:c>
      <x:c r="G7" s="23" t="n">
        <x:v>0.6120661693156016</x:v>
      </x:c>
      <x:c r="H7" s="23" t="n">
        <x:v>0.7993968895636799</x:v>
      </x:c>
      <x:c r="I7" s="23" t="n">
        <x:v>0.5557685304436799</x:v>
      </x:c>
      <x:c r="J7" s="26" t="n">
        <x:v>8731</x:v>
      </x:c>
      <x:c r="K7" s="26" t="n">
        <x:v>115620.16832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" t="str">
        <x:v>Balanced|100</x:v>
      </x:c>
      <x:c r="B8" s="18" t="str">
        <x:v>Balanced</x:v>
      </x:c>
      <x:c r="C8" s="21" t="n">
        <x:v>100</x:v>
      </x:c>
      <x:c r="D8" s="21" t="n">
        <x:v>83.83870967741936</x:v>
      </x:c>
      <x:c r="E8" s="24" t="n">
        <x:v>0.8383870967741935</x:v>
      </x:c>
      <x:c r="F8" s="24" t="n">
        <x:v>0.1198676917171854</x:v>
      </x:c>
      <x:c r="G8" s="24" t="n">
        <x:v>0.6120661693156016</x:v>
      </x:c>
      <x:c r="H8" s="24" t="n">
        <x:v>0.7993968895636799</x:v>
      </x:c>
      <x:c r="I8" s="24" t="n">
        <x:v>0.5781622673111589</x:v>
      </x:c>
      <x:c r="J8" s="27" t="n">
        <x:v>8731</x:v>
      </x:c>
      <x:c r="K8" s="27" t="n">
        <x:v>118782.70851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" t="str">
        <x:v>Balanced|250</x:v>
      </x:c>
      <x:c r="B9" s="18" t="str">
        <x:v>Balanced</x:v>
      </x:c>
      <x:c r="C9" s="21" t="n">
        <x:v>250</x:v>
      </x:c>
      <x:c r="D9" s="21" t="n">
        <x:v>86.7741935483871</x:v>
      </x:c>
      <x:c r="E9" s="24" t="n">
        <x:v>0.3470967741935484</x:v>
      </x:c>
      <x:c r="F9" s="24" t="n">
        <x:v>0.1198676917171854</x:v>
      </x:c>
      <x:c r="G9" s="24" t="n">
        <x:v>0.6120661693156016</x:v>
      </x:c>
      <x:c r="H9" s="24" t="n">
        <x:v>0.7993968895636799</x:v>
      </x:c>
      <x:c r="I9" s="24" t="n">
        <x:v>0.580398269327826</x:v>
      </x:c>
      <x:c r="J9" s="27" t="n">
        <x:v>8731</x:v>
      </x:c>
      <x:c r="K9" s="27" t="n">
        <x:v>119049.63347</x:v>
      </x:c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" t="str">
        <x:v>Balanced|500</x:v>
      </x:c>
      <x:c r="B10" s="18" t="str">
        <x:v>Balanced</x:v>
      </x:c>
      <x:c r="C10" s="21" t="n">
        <x:v>500</x:v>
      </x:c>
      <x:c r="D10" s="21" t="n">
        <x:v>86.7741935483871</x:v>
      </x:c>
      <x:c r="E10" s="24" t="n">
        <x:v>0.1735483870967742</x:v>
      </x:c>
      <x:c r="F10" s="24" t="n">
        <x:v>0.1198676917171854</x:v>
      </x:c>
      <x:c r="G10" s="24" t="n">
        <x:v>0.6120661693156016</x:v>
      </x:c>
      <x:c r="H10" s="24" t="n">
        <x:v>0.7993968895636799</x:v>
      </x:c>
      <x:c r="I10" s="24" t="n">
        <x:v>0.580398269327826</x:v>
      </x:c>
      <x:c r="J10" s="27" t="n">
        <x:v>8731</x:v>
      </x:c>
      <x:c r="K10" s="27" t="n">
        <x:v>119049.63347</x:v>
      </x:c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" t="str">
        <x:v>Customer first|50</x:v>
      </x:c>
      <x:c r="B11" s="18" t="str">
        <x:v>Customer first</x:v>
      </x:c>
      <x:c r="C11" s="21" t="n">
        <x:v>50</x:v>
      </x:c>
      <x:c r="D11" s="21" t="n">
        <x:v>42.67741935483871</x:v>
      </x:c>
      <x:c r="E11" s="24" t="n">
        <x:v>0.8535483870967742</x:v>
      </x:c>
      <x:c r="F11" s="24" t="n">
        <x:v>0.06879579142253982</x:v>
      </x:c>
      <x:c r="G11" s="24" t="n">
        <x:v>0.49594550762244566</x:v>
      </x:c>
      <x:c r="H11" s="24" t="n">
        <x:v>0.6895155294680014</x:v>
      </x:c>
      <x:c r="I11" s="24" t="n">
        <x:v>0.44632964070513537</x:v>
      </x:c>
      <x:c r="J11" s="27" t="n">
        <x:v>4565</x:v>
      </x:c>
      <x:c r="K11" s="27" t="n">
        <x:v>69050.94862500002</x:v>
      </x:c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8" t="str">
        <x:v>Customer first|100</x:v>
      </x:c>
      <x:c r="B12" s="18" t="str">
        <x:v>Customer first</x:v>
      </x:c>
      <x:c r="C12" s="21" t="n">
        <x:v>100</x:v>
      </x:c>
      <x:c r="D12" s="21" t="n">
        <x:v>46.225806451612904</x:v>
      </x:c>
      <x:c r="E12" s="24" t="n">
        <x:v>0.46225806451612905</x:v>
      </x:c>
      <x:c r="F12" s="24" t="n">
        <x:v>0.06879579142253982</x:v>
      </x:c>
      <x:c r="G12" s="24" t="n">
        <x:v>0.49594550762244566</x:v>
      </x:c>
      <x:c r="H12" s="24" t="n">
        <x:v>0.6895155294680014</x:v>
      </x:c>
      <x:c r="I12" s="24" t="n">
        <x:v>0.44931067658374113</x:v>
      </x:c>
      <x:c r="J12" s="27" t="n">
        <x:v>4565</x:v>
      </x:c>
      <x:c r="K12" s="27" t="n">
        <x:v>68762.85855</x:v>
      </x:c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8" t="str">
        <x:v>Customer first|250</x:v>
      </x:c>
      <x:c r="B13" s="18" t="str">
        <x:v>Customer first</x:v>
      </x:c>
      <x:c r="C13" s="21" t="n">
        <x:v>250</x:v>
      </x:c>
      <x:c r="D13" s="21" t="n">
        <x:v>46.225806451612904</x:v>
      </x:c>
      <x:c r="E13" s="24" t="n">
        <x:v>0.1849032258064516</x:v>
      </x:c>
      <x:c r="F13" s="24" t="n">
        <x:v>0.06879579142253982</x:v>
      </x:c>
      <x:c r="G13" s="24" t="n">
        <x:v>0.49594550762244566</x:v>
      </x:c>
      <x:c r="H13" s="24" t="n">
        <x:v>0.6895155294680014</x:v>
      </x:c>
      <x:c r="I13" s="24" t="n">
        <x:v>0.44931067658374113</x:v>
      </x:c>
      <x:c r="J13" s="27" t="n">
        <x:v>4565</x:v>
      </x:c>
      <x:c r="K13" s="27" t="n">
        <x:v>68762.85855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8" t="str">
        <x:v>Customer first|500</x:v>
      </x:c>
      <x:c r="B14" s="18" t="str">
        <x:v>Customer first</x:v>
      </x:c>
      <x:c r="C14" s="21" t="n">
        <x:v>500</x:v>
      </x:c>
      <x:c r="D14" s="21" t="n">
        <x:v>46.225806451612904</x:v>
      </x:c>
      <x:c r="E14" s="24" t="n">
        <x:v>0.0924516129032258</x:v>
      </x:c>
      <x:c r="F14" s="24" t="n">
        <x:v>0.06879579142253982</x:v>
      </x:c>
      <x:c r="G14" s="24" t="n">
        <x:v>0.49594550762244566</x:v>
      </x:c>
      <x:c r="H14" s="24" t="n">
        <x:v>0.6895155294680014</x:v>
      </x:c>
      <x:c r="I14" s="24" t="n">
        <x:v>0.44931067658374113</x:v>
      </x:c>
      <x:c r="J14" s="27" t="n">
        <x:v>4565</x:v>
      </x:c>
      <x:c r="K14" s="27" t="n">
        <x:v>68762.85855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8" t="str">
        <x:v>Loss first|50</x:v>
      </x:c>
      <x:c r="B15" s="18" t="str">
        <x:v>Loss first</x:v>
      </x:c>
      <x:c r="C15" s="21" t="n">
        <x:v>50</x:v>
      </x:c>
      <x:c r="D15" s="21" t="n">
        <x:v>50</x:v>
      </x:c>
      <x:c r="E15" s="24" t="n">
        <x:v>1</x:v>
      </x:c>
      <x:c r="F15" s="24" t="n">
        <x:v>0.22288075320892742</x:v>
      </x:c>
      <x:c r="G15" s="24" t="n">
        <x:v>0.7427830035679532</x:v>
      </x:c>
      <x:c r="H15" s="24" t="n">
        <x:v>0.8918578353479238</x:v>
      </x:c>
      <x:c r="I15" s="24" t="n">
        <x:v>0.71691151492117</x:v>
      </x:c>
      <x:c r="J15" s="27" t="n">
        <x:v>17453</x:v>
      </x:c>
      <x:c r="K15" s="27" t="n">
        <x:v>214349.805278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8" t="str">
        <x:v>Loss first|100</x:v>
      </x:c>
      <x:c r="B16" s="18" t="str">
        <x:v>Loss first</x:v>
      </x:c>
      <x:c r="C16" s="21" t="n">
        <x:v>100</x:v>
      </x:c>
      <x:c r="D16" s="21" t="n">
        <x:v>99.2258064516129</x:v>
      </x:c>
      <x:c r="E16" s="24" t="n">
        <x:v>0.9922580645161291</x:v>
      </x:c>
      <x:c r="F16" s="24" t="n">
        <x:v>0.22288075320892742</x:v>
      </x:c>
      <x:c r="G16" s="24" t="n">
        <x:v>0.7427830035679532</x:v>
      </x:c>
      <x:c r="H16" s="24" t="n">
        <x:v>0.8918578353479238</x:v>
      </x:c>
      <x:c r="I16" s="24" t="n">
        <x:v>0.7208416422452437</x:v>
      </x:c>
      <x:c r="J16" s="27" t="n">
        <x:v>17453</x:v>
      </x:c>
      <x:c r="K16" s="27" t="n">
        <x:v>215897.738862</x:v>
      </x:c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8" t="str">
        <x:v>Loss first|250</x:v>
      </x:c>
      <x:c r="B17" s="18" t="str">
        <x:v>Loss first</x:v>
      </x:c>
      <x:c r="C17" s="21" t="n">
        <x:v>250</x:v>
      </x:c>
      <x:c r="D17" s="21" t="n">
        <x:v>153.19354838709677</x:v>
      </x:c>
      <x:c r="E17" s="24" t="n">
        <x:v>0.6127741935483871</x:v>
      </x:c>
      <x:c r="F17" s="24" t="n">
        <x:v>0.22288075320892742</x:v>
      </x:c>
      <x:c r="G17" s="24" t="n">
        <x:v>0.7427830035679532</x:v>
      </x:c>
      <x:c r="H17" s="24" t="n">
        <x:v>0.8918578353479238</x:v>
      </x:c>
      <x:c r="I17" s="24" t="n">
        <x:v>0.734655468826129</x:v>
      </x:c>
      <x:c r="J17" s="27" t="n">
        <x:v>17453</x:v>
      </x:c>
      <x:c r="K17" s="27" t="n">
        <x:v>219825.93589800003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9" t="str">
        <x:v>Loss first|500</x:v>
      </x:c>
      <x:c r="B18" s="19" t="str">
        <x:v>Loss first</x:v>
      </x:c>
      <x:c r="C18" s="22" t="n">
        <x:v>500</x:v>
      </x:c>
      <x:c r="D18" s="22" t="n">
        <x:v>153.19354838709677</x:v>
      </x:c>
      <x:c r="E18" s="25" t="n">
        <x:v>0.30638709677419357</x:v>
      </x:c>
      <x:c r="F18" s="25" t="n">
        <x:v>0.22288075320892742</x:v>
      </x:c>
      <x:c r="G18" s="25" t="n">
        <x:v>0.7427830035679532</x:v>
      </x:c>
      <x:c r="H18" s="25" t="n">
        <x:v>0.8918578353479238</x:v>
      </x:c>
      <x:c r="I18" s="25" t="n">
        <x:v>0.734655468826129</x:v>
      </x:c>
      <x:c r="J18" s="28" t="n">
        <x:v>17453</x:v>
      </x:c>
      <x:c r="K18" s="28" t="n">
        <x:v>219825.93589800003</x:v>
      </x:c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4" customHeight="1">
      <x:c r="A22" s="13" t="str">
        <x:v>Key</x:v>
      </x:c>
      <x:c r="B22" s="14" t="str">
        <x:v>Scenario</x:v>
      </x:c>
      <x:c r="C22" s="14" t="str">
        <x:v>Capacity</x:v>
      </x:c>
      <x:c r="D22" s="14" t="str">
        <x:v>Action</x:v>
      </x:c>
      <x:c r="E22" s="14" t="str">
        <x:v>Transactions</x:v>
      </x:c>
      <x:c r="F22" s="14" t="str">
        <x:v>Fraud rate</x:v>
      </x:c>
      <x:c r="G22" s="14" t="str">
        <x:v>Average probability</x:v>
      </x:c>
      <x:c r="H22" s="15" t="str">
        <x:v>Exposure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7" t="str">
        <x:v>Balanced|50|allow</x:v>
      </x:c>
      <x:c r="B23" s="17" t="str">
        <x:v>Balanced</x:v>
      </x:c>
      <x:c r="C23" s="26" t="n">
        <x:v>50</x:v>
      </x:c>
      <x:c r="D23" s="17" t="str">
        <x:v>allow</x:v>
      </x:c>
      <x:c r="E23" s="26" t="n">
        <x:v>77963</x:v>
      </x:c>
      <x:c r="F23" s="29" t="n">
        <x:v>0.0153406102894963</x:v>
      </x:c>
      <x:c r="G23" s="29" t="n">
        <x:v>0.015291493710316151</x:v>
      </x:c>
      <x:c r="H23" s="26" t="n">
        <x:v>7832293.078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8" t="str">
        <x:v>Balanced|100|allow</x:v>
      </x:c>
      <x:c r="B24" s="18" t="str">
        <x:v>Balanced</x:v>
      </x:c>
      <x:c r="C24" s="27" t="n">
        <x:v>100</x:v>
      </x:c>
      <x:c r="D24" s="18" t="str">
        <x:v>allow</x:v>
      </x:c>
      <x:c r="E24" s="27" t="n">
        <x:v>77963</x:v>
      </x:c>
      <x:c r="F24" s="30" t="n">
        <x:v>0.0153406102894963</x:v>
      </x:c>
      <x:c r="G24" s="30" t="n">
        <x:v>0.015291493710316151</x:v>
      </x:c>
      <x:c r="H24" s="27" t="n">
        <x:v>7832293.078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8" t="str">
        <x:v>Balanced|250|allow</x:v>
      </x:c>
      <x:c r="B25" s="18" t="str">
        <x:v>Balanced</x:v>
      </x:c>
      <x:c r="C25" s="27" t="n">
        <x:v>250</x:v>
      </x:c>
      <x:c r="D25" s="18" t="str">
        <x:v>allow</x:v>
      </x:c>
      <x:c r="E25" s="27" t="n">
        <x:v>77963</x:v>
      </x:c>
      <x:c r="F25" s="30" t="n">
        <x:v>0.0153406102894963</x:v>
      </x:c>
      <x:c r="G25" s="30" t="n">
        <x:v>0.015291493710316151</x:v>
      </x:c>
      <x:c r="H25" s="27" t="n">
        <x:v>7832293.078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8" t="str">
        <x:v>Balanced|500|allow</x:v>
      </x:c>
      <x:c r="B26" s="18" t="str">
        <x:v>Balanced</x:v>
      </x:c>
      <x:c r="C26" s="27" t="n">
        <x:v>500</x:v>
      </x:c>
      <x:c r="D26" s="18" t="str">
        <x:v>allow</x:v>
      </x:c>
      <x:c r="E26" s="27" t="n">
        <x:v>77963</x:v>
      </x:c>
      <x:c r="F26" s="30" t="n">
        <x:v>0.0153406102894963</x:v>
      </x:c>
      <x:c r="G26" s="30" t="n">
        <x:v>0.015291493710316151</x:v>
      </x:c>
      <x:c r="H26" s="27" t="n">
        <x:v>7832293.078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8" t="str">
        <x:v>Customer first|50|allow</x:v>
      </x:c>
      <x:c r="B27" s="18" t="str">
        <x:v>Customer first</x:v>
      </x:c>
      <x:c r="C27" s="27" t="n">
        <x:v>50</x:v>
      </x:c>
      <x:c r="D27" s="18" t="str">
        <x:v>allow</x:v>
      </x:c>
      <x:c r="E27" s="27" t="n">
        <x:v>82487</x:v>
      </x:c>
      <x:c r="F27" s="30" t="n">
        <x:v>0.018839332258416476</x:v>
      </x:c>
      <x:c r="G27" s="30" t="n">
        <x:v>0.019527109500038657</x:v>
      </x:c>
      <x:c r="H27" s="27" t="n">
        <x:v>9413465.966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8" t="str">
        <x:v>Customer first|100|allow</x:v>
      </x:c>
      <x:c r="B28" s="18" t="str">
        <x:v>Customer first</x:v>
      </x:c>
      <x:c r="C28" s="27" t="n">
        <x:v>100</x:v>
      </x:c>
      <x:c r="D28" s="18" t="str">
        <x:v>allow</x:v>
      </x:c>
      <x:c r="E28" s="27" t="n">
        <x:v>82487</x:v>
      </x:c>
      <x:c r="F28" s="30" t="n">
        <x:v>0.018839332258416476</x:v>
      </x:c>
      <x:c r="G28" s="30" t="n">
        <x:v>0.019527109500038657</x:v>
      </x:c>
      <x:c r="H28" s="27" t="n">
        <x:v>9413465.966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8" t="str">
        <x:v>Customer first|250|allow</x:v>
      </x:c>
      <x:c r="B29" s="18" t="str">
        <x:v>Customer first</x:v>
      </x:c>
      <x:c r="C29" s="27" t="n">
        <x:v>250</x:v>
      </x:c>
      <x:c r="D29" s="18" t="str">
        <x:v>allow</x:v>
      </x:c>
      <x:c r="E29" s="27" t="n">
        <x:v>82487</x:v>
      </x:c>
      <x:c r="F29" s="30" t="n">
        <x:v>0.018839332258416476</x:v>
      </x:c>
      <x:c r="G29" s="30" t="n">
        <x:v>0.019527109500038657</x:v>
      </x:c>
      <x:c r="H29" s="27" t="n">
        <x:v>9413465.966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8" t="str">
        <x:v>Customer first|500|allow</x:v>
      </x:c>
      <x:c r="B30" s="18" t="str">
        <x:v>Customer first</x:v>
      </x:c>
      <x:c r="C30" s="27" t="n">
        <x:v>500</x:v>
      </x:c>
      <x:c r="D30" s="18" t="str">
        <x:v>allow</x:v>
      </x:c>
      <x:c r="E30" s="27" t="n">
        <x:v>82487</x:v>
      </x:c>
      <x:c r="F30" s="30" t="n">
        <x:v>0.018839332258416476</x:v>
      </x:c>
      <x:c r="G30" s="30" t="n">
        <x:v>0.019527109500038657</x:v>
      </x:c>
      <x:c r="H30" s="27" t="n">
        <x:v>9413465.966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8" t="str">
        <x:v>Loss first|50|allow</x:v>
      </x:c>
      <x:c r="B31" s="18" t="str">
        <x:v>Loss first</x:v>
      </x:c>
      <x:c r="C31" s="27" t="n">
        <x:v>50</x:v>
      </x:c>
      <x:c r="D31" s="18" t="str">
        <x:v>allow</x:v>
      </x:c>
      <x:c r="E31" s="27" t="n">
        <x:v>68838</x:v>
      </x:c>
      <x:c r="F31" s="30" t="n">
        <x:v>0.011519800110404137</x:v>
      </x:c>
      <x:c r="G31" s="30" t="n">
        <x:v>0.010830475556325029</x:v>
      </x:c>
      <x:c r="H31" s="27" t="n">
        <x:v>5777976.338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8" t="str">
        <x:v>Loss first|100|allow</x:v>
      </x:c>
      <x:c r="B32" s="18" t="str">
        <x:v>Loss first</x:v>
      </x:c>
      <x:c r="C32" s="27" t="n">
        <x:v>100</x:v>
      </x:c>
      <x:c r="D32" s="18" t="str">
        <x:v>allow</x:v>
      </x:c>
      <x:c r="E32" s="27" t="n">
        <x:v>68838</x:v>
      </x:c>
      <x:c r="F32" s="30" t="n">
        <x:v>0.011519800110404137</x:v>
      </x:c>
      <x:c r="G32" s="30" t="n">
        <x:v>0.010830475556325029</x:v>
      </x:c>
      <x:c r="H32" s="27" t="n">
        <x:v>5777976.338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8" t="str">
        <x:v>Loss first|250|allow</x:v>
      </x:c>
      <x:c r="B33" s="18" t="str">
        <x:v>Loss first</x:v>
      </x:c>
      <x:c r="C33" s="27" t="n">
        <x:v>250</x:v>
      </x:c>
      <x:c r="D33" s="18" t="str">
        <x:v>allow</x:v>
      </x:c>
      <x:c r="E33" s="27" t="n">
        <x:v>68838</x:v>
      </x:c>
      <x:c r="F33" s="30" t="n">
        <x:v>0.011519800110404137</x:v>
      </x:c>
      <x:c r="G33" s="30" t="n">
        <x:v>0.010830475556325029</x:v>
      </x:c>
      <x:c r="H33" s="27" t="n">
        <x:v>5777976.338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8" t="str">
        <x:v>Loss first|500|allow</x:v>
      </x:c>
      <x:c r="B34" s="18" t="str">
        <x:v>Loss first</x:v>
      </x:c>
      <x:c r="C34" s="27" t="n">
        <x:v>500</x:v>
      </x:c>
      <x:c r="D34" s="18" t="str">
        <x:v>allow</x:v>
      </x:c>
      <x:c r="E34" s="27" t="n">
        <x:v>68838</x:v>
      </x:c>
      <x:c r="F34" s="30" t="n">
        <x:v>0.011519800110404137</x:v>
      </x:c>
      <x:c r="G34" s="30" t="n">
        <x:v>0.010830475556325029</x:v>
      </x:c>
      <x:c r="H34" s="27" t="n">
        <x:v>5777976.338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8" t="str">
        <x:v>Balanced|50|step_up</x:v>
      </x:c>
      <x:c r="B35" s="18" t="str">
        <x:v>Balanced</x:v>
      </x:c>
      <x:c r="C35" s="27" t="n">
        <x:v>50</x:v>
      </x:c>
      <x:c r="D35" s="18" t="str">
        <x:v>step_up</x:v>
      </x:c>
      <x:c r="E35" s="27" t="n">
        <x:v>7352</x:v>
      </x:c>
      <x:c r="F35" s="30" t="n">
        <x:v>0.08283460282916214</x:v>
      </x:c>
      <x:c r="G35" s="30" t="n">
        <x:v>0.10477853846345887</x:v>
      </x:c>
      <x:c r="H35" s="27" t="n">
        <x:v>2882888.627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8" t="str">
        <x:v>Balanced|100|step_up</x:v>
      </x:c>
      <x:c r="B36" s="18" t="str">
        <x:v>Balanced</x:v>
      </x:c>
      <x:c r="C36" s="27" t="n">
        <x:v>100</x:v>
      </x:c>
      <x:c r="D36" s="18" t="str">
        <x:v>step_up</x:v>
      </x:c>
      <x:c r="E36" s="27" t="n">
        <x:v>6451</x:v>
      </x:c>
      <x:c r="F36" s="30" t="n">
        <x:v>0.08417299643466129</x:v>
      </x:c>
      <x:c r="G36" s="30" t="n">
        <x:v>0.10181137431525981</x:v>
      </x:c>
      <x:c r="H36" s="27" t="n">
        <x:v>2362886.446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8" t="str">
        <x:v>Balanced|250|step_up</x:v>
      </x:c>
      <x:c r="B37" s="18" t="str">
        <x:v>Balanced</x:v>
      </x:c>
      <x:c r="C37" s="27" t="n">
        <x:v>250</x:v>
      </x:c>
      <x:c r="D37" s="18" t="str">
        <x:v>step_up</x:v>
      </x:c>
      <x:c r="E37" s="27" t="n">
        <x:v>6370</x:v>
      </x:c>
      <x:c r="F37" s="30" t="n">
        <x:v>0.08383045525902669</x:v>
      </x:c>
      <x:c r="G37" s="30" t="n">
        <x:v>0.10136437239195956</x:v>
      </x:c>
      <x:c r="H37" s="27" t="n">
        <x:v>2328888.623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8" t="str">
        <x:v>Balanced|500|step_up</x:v>
      </x:c>
      <x:c r="B38" s="18" t="str">
        <x:v>Balanced</x:v>
      </x:c>
      <x:c r="C38" s="27" t="n">
        <x:v>500</x:v>
      </x:c>
      <x:c r="D38" s="18" t="str">
        <x:v>step_up</x:v>
      </x:c>
      <x:c r="E38" s="27" t="n">
        <x:v>6370</x:v>
      </x:c>
      <x:c r="F38" s="30" t="n">
        <x:v>0.08383045525902669</x:v>
      </x:c>
      <x:c r="G38" s="30" t="n">
        <x:v>0.10136437239195956</x:v>
      </x:c>
      <x:c r="H38" s="27" t="n">
        <x:v>2328888.623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8" t="str">
        <x:v>Customer first|50|step_up</x:v>
      </x:c>
      <x:c r="B39" s="18" t="str">
        <x:v>Customer first</x:v>
      </x:c>
      <x:c r="C39" s="27" t="n">
        <x:v>50</x:v>
      </x:c>
      <x:c r="D39" s="18" t="str">
        <x:v>step_up</x:v>
      </x:c>
      <x:c r="E39" s="27" t="n">
        <x:v>3830</x:v>
      </x:c>
      <x:c r="F39" s="30" t="n">
        <x:v>0.1300261096605744</x:v>
      </x:c>
      <x:c r="G39" s="30" t="n">
        <x:v>0.17136150768623556</x:v>
      </x:c>
      <x:c r="H39" s="27" t="n">
        <x:v>1677659.596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8" t="str">
        <x:v>Customer first|100|step_up</x:v>
      </x:c>
      <x:c r="B40" s="18" t="str">
        <x:v>Customer first</x:v>
      </x:c>
      <x:c r="C40" s="27" t="n">
        <x:v>100</x:v>
      </x:c>
      <x:c r="D40" s="18" t="str">
        <x:v>step_up</x:v>
      </x:c>
      <x:c r="E40" s="27" t="n">
        <x:v>3723</x:v>
      </x:c>
      <x:c r="F40" s="30" t="n">
        <x:v>0.13107708836959442</x:v>
      </x:c>
      <x:c r="G40" s="30" t="n">
        <x:v>0.17055177089232956</x:v>
      </x:c>
      <x:c r="H40" s="27" t="n">
        <x:v>1610318.153</x:v>
      </x:c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8" t="str">
        <x:v>Customer first|250|step_up</x:v>
      </x:c>
      <x:c r="B41" s="18" t="str">
        <x:v>Customer first</x:v>
      </x:c>
      <x:c r="C41" s="27" t="n">
        <x:v>250</x:v>
      </x:c>
      <x:c r="D41" s="18" t="str">
        <x:v>step_up</x:v>
      </x:c>
      <x:c r="E41" s="27" t="n">
        <x:v>3723</x:v>
      </x:c>
      <x:c r="F41" s="30" t="n">
        <x:v>0.13107708836959442</x:v>
      </x:c>
      <x:c r="G41" s="30" t="n">
        <x:v>0.17055177089232956</x:v>
      </x:c>
      <x:c r="H41" s="27" t="n">
        <x:v>1610318.153</x:v>
      </x:c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8" t="str">
        <x:v>Customer first|500|step_up</x:v>
      </x:c>
      <x:c r="B42" s="18" t="str">
        <x:v>Customer first</x:v>
      </x:c>
      <x:c r="C42" s="27" t="n">
        <x:v>500</x:v>
      </x:c>
      <x:c r="D42" s="18" t="str">
        <x:v>step_up</x:v>
      </x:c>
      <x:c r="E42" s="27" t="n">
        <x:v>3723</x:v>
      </x:c>
      <x:c r="F42" s="30" t="n">
        <x:v>0.13107708836959442</x:v>
      </x:c>
      <x:c r="G42" s="30" t="n">
        <x:v>0.17055177089232956</x:v>
      </x:c>
      <x:c r="H42" s="27" t="n">
        <x:v>1610318.153</x:v>
      </x:c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8" t="str">
        <x:v>Loss first|50|step_up</x:v>
      </x:c>
      <x:c r="B43" s="18" t="str">
        <x:v>Loss first</x:v>
      </x:c>
      <x:c r="C43" s="27" t="n">
        <x:v>50</x:v>
      </x:c>
      <x:c r="D43" s="18" t="str">
        <x:v>step_up</x:v>
      </x:c>
      <x:c r="E43" s="27" t="n">
        <x:v>13697</x:v>
      </x:c>
      <x:c r="F43" s="30" t="n">
        <x:v>0.04533839526903702</x:v>
      </x:c>
      <x:c r="G43" s="30" t="n">
        <x:v>0.05286415532420215</x:v>
      </x:c>
      <x:c r="H43" s="27" t="n">
        <x:v>4034608.017</x:v>
      </x:c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8" t="str">
        <x:v>Loss first|100|step_up</x:v>
      </x:c>
      <x:c r="B44" s="18" t="str">
        <x:v>Loss first</x:v>
      </x:c>
      <x:c r="C44" s="27" t="n">
        <x:v>100</x:v>
      </x:c>
      <x:c r="D44" s="18" t="str">
        <x:v>step_up</x:v>
      </x:c>
      <x:c r="E44" s="27" t="n">
        <x:v>12650</x:v>
      </x:c>
      <x:c r="F44" s="30" t="n">
        <x:v>0.04577075098814229</x:v>
      </x:c>
      <x:c r="G44" s="30" t="n">
        <x:v>0.05260457748825399</x:v>
      </x:c>
      <x:c r="H44" s="27" t="n">
        <x:v>3401028.312</x:v>
      </x:c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8" t="str">
        <x:v>Loss first|250|step_up</x:v>
      </x:c>
      <x:c r="B45" s="18" t="str">
        <x:v>Loss first</x:v>
      </x:c>
      <x:c r="C45" s="27" t="n">
        <x:v>250</x:v>
      </x:c>
      <x:c r="D45" s="18" t="str">
        <x:v>step_up</x:v>
      </x:c>
      <x:c r="E45" s="27" t="n">
        <x:v>11468</x:v>
      </x:c>
      <x:c r="F45" s="30" t="n">
        <x:v>0.04516916637600279</x:v>
      </x:c>
      <x:c r="G45" s="30" t="n">
        <x:v>0.05202492510451899</x:v>
      </x:c>
      <x:c r="H45" s="27" t="n">
        <x:v>2822633.701</x:v>
      </x:c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8" t="str">
        <x:v>Loss first|500|step_up</x:v>
      </x:c>
      <x:c r="B46" s="18" t="str">
        <x:v>Loss first</x:v>
      </x:c>
      <x:c r="C46" s="27" t="n">
        <x:v>500</x:v>
      </x:c>
      <x:c r="D46" s="18" t="str">
        <x:v>step_up</x:v>
      </x:c>
      <x:c r="E46" s="27" t="n">
        <x:v>11468</x:v>
      </x:c>
      <x:c r="F46" s="30" t="n">
        <x:v>0.04516916637600279</x:v>
      </x:c>
      <x:c r="G46" s="30" t="n">
        <x:v>0.05202492510451899</x:v>
      </x:c>
      <x:c r="H46" s="27" t="n">
        <x:v>2822633.701</x:v>
      </x:c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8" t="str">
        <x:v>Balanced|50|review</x:v>
      </x:c>
      <x:c r="B47" s="18" t="str">
        <x:v>Balanced</x:v>
      </x:c>
      <x:c r="C47" s="27" t="n">
        <x:v>50</x:v>
      </x:c>
      <x:c r="D47" s="18" t="str">
        <x:v>review</x:v>
      </x:c>
      <x:c r="E47" s="27" t="n">
        <x:v>1550</x:v>
      </x:c>
      <x:c r="F47" s="30" t="n">
        <x:v>0.14774193548387096</x:v>
      </x:c>
      <x:c r="G47" s="30" t="n">
        <x:v>0.15760382398646833</x:v>
      </x:c>
      <x:c r="H47" s="27" t="n">
        <x:v>1218192.901</x:v>
      </x:c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8" t="str">
        <x:v>Balanced|100|review</x:v>
      </x:c>
      <x:c r="B48" s="18" t="str">
        <x:v>Balanced</x:v>
      </x:c>
      <x:c r="C48" s="27" t="n">
        <x:v>100</x:v>
      </x:c>
      <x:c r="D48" s="18" t="str">
        <x:v>review</x:v>
      </x:c>
      <x:c r="E48" s="27" t="n">
        <x:v>2599</x:v>
      </x:c>
      <x:c r="F48" s="30" t="n">
        <x:v>0.12158522508657175</x:v>
      </x:c>
      <x:c r="G48" s="30" t="n">
        <x:v>0.1567879547872758</x:v>
      </x:c>
      <x:c r="H48" s="27" t="n">
        <x:v>1766500.062</x:v>
      </x:c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8" t="str">
        <x:v>Balanced|250|review</x:v>
      </x:c>
      <x:c r="B49" s="18" t="str">
        <x:v>Balanced</x:v>
      </x:c>
      <x:c r="C49" s="27" t="n">
        <x:v>250</x:v>
      </x:c>
      <x:c r="D49" s="18" t="str">
        <x:v>review</x:v>
      </x:c>
      <x:c r="E49" s="27" t="n">
        <x:v>2690</x:v>
      </x:c>
      <x:c r="F49" s="30" t="n">
        <x:v>0.12118959107806691</x:v>
      </x:c>
      <x:c r="G49" s="30" t="n">
        <x:v>0.15694991891249463</x:v>
      </x:c>
      <x:c r="H49" s="27" t="n">
        <x:v>1801902.855</x:v>
      </x:c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8" t="str">
        <x:v>Balanced|500|review</x:v>
      </x:c>
      <x:c r="B50" s="18" t="str">
        <x:v>Balanced</x:v>
      </x:c>
      <x:c r="C50" s="27" t="n">
        <x:v>500</x:v>
      </x:c>
      <x:c r="D50" s="18" t="str">
        <x:v>review</x:v>
      </x:c>
      <x:c r="E50" s="27" t="n">
        <x:v>2690</x:v>
      </x:c>
      <x:c r="F50" s="30" t="n">
        <x:v>0.12118959107806691</x:v>
      </x:c>
      <x:c r="G50" s="30" t="n">
        <x:v>0.15694991891249463</x:v>
      </x:c>
      <x:c r="H50" s="27" t="n">
        <x:v>1801902.855</x:v>
      </x:c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8" t="str">
        <x:v>Customer first|50|review</x:v>
      </x:c>
      <x:c r="B51" s="18" t="str">
        <x:v>Customer first</x:v>
      </x:c>
      <x:c r="C51" s="27" t="n">
        <x:v>50</x:v>
      </x:c>
      <x:c r="D51" s="18" t="str">
        <x:v>review</x:v>
      </x:c>
      <x:c r="E51" s="27" t="n">
        <x:v>1323</x:v>
      </x:c>
      <x:c r="F51" s="30" t="n">
        <x:v>0.1980347694633409</x:v>
      </x:c>
      <x:c r="G51" s="30" t="n">
        <x:v>0.2448037208978909</x:v>
      </x:c>
      <x:c r="H51" s="27" t="n">
        <x:v>964904.147</x:v>
      </x:c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8" t="str">
        <x:v>Customer first|100|review</x:v>
      </x:c>
      <x:c r="B52" s="18" t="str">
        <x:v>Customer first</x:v>
      </x:c>
      <x:c r="C52" s="27" t="n">
        <x:v>100</x:v>
      </x:c>
      <x:c r="D52" s="18" t="str">
        <x:v>review</x:v>
      </x:c>
      <x:c r="E52" s="27" t="n">
        <x:v>1433</x:v>
      </x:c>
      <x:c r="F52" s="30" t="n">
        <x:v>0.19120725750174458</x:v>
      </x:c>
      <x:c r="G52" s="30" t="n">
        <x:v>0.242137997860877</x:v>
      </x:c>
      <x:c r="H52" s="27" t="n">
        <x:v>1032673.364</x:v>
      </x:c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8" t="str">
        <x:v>Customer first|250|review</x:v>
      </x:c>
      <x:c r="B53" s="18" t="str">
        <x:v>Customer first</x:v>
      </x:c>
      <x:c r="C53" s="27" t="n">
        <x:v>250</x:v>
      </x:c>
      <x:c r="D53" s="18" t="str">
        <x:v>review</x:v>
      </x:c>
      <x:c r="E53" s="27" t="n">
        <x:v>1433</x:v>
      </x:c>
      <x:c r="F53" s="30" t="n">
        <x:v>0.19120725750174458</x:v>
      </x:c>
      <x:c r="G53" s="30" t="n">
        <x:v>0.242137997860877</x:v>
      </x:c>
      <x:c r="H53" s="27" t="n">
        <x:v>1032673.364</x:v>
      </x:c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8" t="str">
        <x:v>Customer first|500|review</x:v>
      </x:c>
      <x:c r="B54" s="18" t="str">
        <x:v>Customer first</x:v>
      </x:c>
      <x:c r="C54" s="27" t="n">
        <x:v>500</x:v>
      </x:c>
      <x:c r="D54" s="18" t="str">
        <x:v>review</x:v>
      </x:c>
      <x:c r="E54" s="27" t="n">
        <x:v>1433</x:v>
      </x:c>
      <x:c r="F54" s="30" t="n">
        <x:v>0.19120725750174458</x:v>
      </x:c>
      <x:c r="G54" s="30" t="n">
        <x:v>0.242137997860877</x:v>
      </x:c>
      <x:c r="H54" s="27" t="n">
        <x:v>1032673.364</x:v>
      </x:c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8" t="str">
        <x:v>Loss first|50|review</x:v>
      </x:c>
      <x:c r="B55" s="18" t="str">
        <x:v>Loss first</x:v>
      </x:c>
      <x:c r="C55" s="27" t="n">
        <x:v>50</x:v>
      </x:c>
      <x:c r="D55" s="18" t="str">
        <x:v>review</x:v>
      </x:c>
      <x:c r="E55" s="27" t="n">
        <x:v>1550</x:v>
      </x:c>
      <x:c r="F55" s="30" t="n">
        <x:v>0.08774193548387096</x:v>
      </x:c>
      <x:c r="G55" s="30" t="n">
        <x:v>0.07057259076713583</x:v>
      </x:c>
      <x:c r="H55" s="27" t="n">
        <x:v>1518159.475</x:v>
      </x:c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8" t="str">
        <x:v>Loss first|100|review</x:v>
      </x:c>
      <x:c r="B56" s="18" t="str">
        <x:v>Loss first</x:v>
      </x:c>
      <x:c r="C56" s="27" t="n">
        <x:v>100</x:v>
      </x:c>
      <x:c r="D56" s="18" t="str">
        <x:v>review</x:v>
      </x:c>
      <x:c r="E56" s="27" t="n">
        <x:v>3076</x:v>
      </x:c>
      <x:c r="F56" s="30" t="n">
        <x:v>0.07574772431729519</x:v>
      </x:c>
      <x:c r="G56" s="30" t="n">
        <x:v>0.07558794836487367</x:v>
      </x:c>
      <x:c r="H56" s="27" t="n">
        <x:v>2285675.913</x:v>
      </x:c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8" t="str">
        <x:v>Loss first|250|review</x:v>
      </x:c>
      <x:c r="B57" s="18" t="str">
        <x:v>Loss first</x:v>
      </x:c>
      <x:c r="C57" s="27" t="n">
        <x:v>250</x:v>
      </x:c>
      <x:c r="D57" s="18" t="str">
        <x:v>review</x:v>
      </x:c>
      <x:c r="E57" s="27" t="n">
        <x:v>4749</x:v>
      </x:c>
      <x:c r="F57" s="30" t="n">
        <x:v>0.0696988839755738</x:v>
      </x:c>
      <x:c r="G57" s="30" t="n">
        <x:v>0.07958067720974729</x:v>
      </x:c>
      <x:c r="H57" s="27" t="n">
        <x:v>2956388.2229999998</x:v>
      </x:c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8" t="str">
        <x:v>Loss first|500|review</x:v>
      </x:c>
      <x:c r="B58" s="18" t="str">
        <x:v>Loss first</x:v>
      </x:c>
      <x:c r="C58" s="27" t="n">
        <x:v>500</x:v>
      </x:c>
      <x:c r="D58" s="18" t="str">
        <x:v>review</x:v>
      </x:c>
      <x:c r="E58" s="27" t="n">
        <x:v>4749</x:v>
      </x:c>
      <x:c r="F58" s="30" t="n">
        <x:v>0.0696988839755738</x:v>
      </x:c>
      <x:c r="G58" s="30" t="n">
        <x:v>0.07958067720974729</x:v>
      </x:c>
      <x:c r="H58" s="27" t="n">
        <x:v>2956388.2229999998</x:v>
      </x:c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8" t="str">
        <x:v>Balanced|50|block</x:v>
      </x:c>
      <x:c r="B59" s="18" t="str">
        <x:v>Balanced</x:v>
      </x:c>
      <x:c r="C59" s="27" t="n">
        <x:v>50</x:v>
      </x:c>
      <x:c r="D59" s="18" t="str">
        <x:v>block</x:v>
      </x:c>
      <x:c r="E59" s="27" t="n">
        <x:v>1716</x:v>
      </x:c>
      <x:c r="F59" s="30" t="n">
        <x:v>0.6113053613053613</x:v>
      </x:c>
      <x:c r="G59" s="30" t="n">
        <x:v>0.6989041679807917</x:v>
      </x:c>
      <x:c r="H59" s="27" t="n">
        <x:v>215379.58</x:v>
      </x:c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8" t="str">
        <x:v>Balanced|100|block</x:v>
      </x:c>
      <x:c r="B60" s="18" t="str">
        <x:v>Balanced</x:v>
      </x:c>
      <x:c r="C60" s="27" t="n">
        <x:v>100</x:v>
      </x:c>
      <x:c r="D60" s="18" t="str">
        <x:v>block</x:v>
      </x:c>
      <x:c r="E60" s="27" t="n">
        <x:v>1568</x:v>
      </x:c>
      <x:c r="F60" s="30" t="n">
        <x:v>0.6556122448979592</x:v>
      </x:c>
      <x:c r="G60" s="30" t="n">
        <x:v>0.7332016734805762</x:v>
      </x:c>
      <x:c r="H60" s="27" t="n">
        <x:v>187074.6</x:v>
      </x:c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8" t="str">
        <x:v>Balanced|250|block</x:v>
      </x:c>
      <x:c r="B61" s="18" t="str">
        <x:v>Balanced</x:v>
      </x:c>
      <x:c r="C61" s="27" t="n">
        <x:v>250</x:v>
      </x:c>
      <x:c r="D61" s="18" t="str">
        <x:v>block</x:v>
      </x:c>
      <x:c r="E61" s="27" t="n">
        <x:v>1558</x:v>
      </x:c>
      <x:c r="F61" s="30" t="n">
        <x:v>0.6591784338896021</x:v>
      </x:c>
      <x:c r="G61" s="30" t="n">
        <x:v>0.735591116948666</x:v>
      </x:c>
      <x:c r="H61" s="27" t="n">
        <x:v>185669.63</x:v>
      </x:c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8" t="str">
        <x:v>Balanced|500|block</x:v>
      </x:c>
      <x:c r="B62" s="18" t="str">
        <x:v>Balanced</x:v>
      </x:c>
      <x:c r="C62" s="27" t="n">
        <x:v>500</x:v>
      </x:c>
      <x:c r="D62" s="18" t="str">
        <x:v>block</x:v>
      </x:c>
      <x:c r="E62" s="27" t="n">
        <x:v>1558</x:v>
      </x:c>
      <x:c r="F62" s="30" t="n">
        <x:v>0.6591784338896021</x:v>
      </x:c>
      <x:c r="G62" s="30" t="n">
        <x:v>0.735591116948666</x:v>
      </x:c>
      <x:c r="H62" s="27" t="n">
        <x:v>185669.63</x:v>
      </x:c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8" t="str">
        <x:v>Customer first|50|block</x:v>
      </x:c>
      <x:c r="B63" s="18" t="str">
        <x:v>Customer first</x:v>
      </x:c>
      <x:c r="C63" s="27" t="n">
        <x:v>50</x:v>
      </x:c>
      <x:c r="D63" s="18" t="str">
        <x:v>block</x:v>
      </x:c>
      <x:c r="E63" s="27" t="n">
        <x:v>941</x:v>
      </x:c>
      <x:c r="F63" s="30" t="n">
        <x:v>0.8172157279489904</x:v>
      </x:c>
      <x:c r="G63" s="30" t="n">
        <x:v>0.8662969605089389</x:v>
      </x:c>
      <x:c r="H63" s="27" t="n">
        <x:v>92724.477</x:v>
      </x:c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8" t="str">
        <x:v>Customer first|100|block</x:v>
      </x:c>
      <x:c r="B64" s="18" t="str">
        <x:v>Customer first</x:v>
      </x:c>
      <x:c r="C64" s="27" t="n">
        <x:v>100</x:v>
      </x:c>
      <x:c r="D64" s="18" t="str">
        <x:v>block</x:v>
      </x:c>
      <x:c r="E64" s="27" t="n">
        <x:v>938</x:v>
      </x:c>
      <x:c r="F64" s="30" t="n">
        <x:v>0.8176972281449894</x:v>
      </x:c>
      <x:c r="G64" s="30" t="n">
        <x:v>0.867193329486486</x:v>
      </x:c>
      <x:c r="H64" s="27" t="n">
        <x:v>92296.703</x:v>
      </x:c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8" t="str">
        <x:v>Customer first|250|block</x:v>
      </x:c>
      <x:c r="B65" s="18" t="str">
        <x:v>Customer first</x:v>
      </x:c>
      <x:c r="C65" s="27" t="n">
        <x:v>250</x:v>
      </x:c>
      <x:c r="D65" s="18" t="str">
        <x:v>block</x:v>
      </x:c>
      <x:c r="E65" s="27" t="n">
        <x:v>938</x:v>
      </x:c>
      <x:c r="F65" s="30" t="n">
        <x:v>0.8176972281449894</x:v>
      </x:c>
      <x:c r="G65" s="30" t="n">
        <x:v>0.867193329486486</x:v>
      </x:c>
      <x:c r="H65" s="27" t="n">
        <x:v>92296.703</x:v>
      </x:c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8" t="str">
        <x:v>Customer first|500|block</x:v>
      </x:c>
      <x:c r="B66" s="18" t="str">
        <x:v>Customer first</x:v>
      </x:c>
      <x:c r="C66" s="27" t="n">
        <x:v>500</x:v>
      </x:c>
      <x:c r="D66" s="18" t="str">
        <x:v>block</x:v>
      </x:c>
      <x:c r="E66" s="27" t="n">
        <x:v>938</x:v>
      </x:c>
      <x:c r="F66" s="30" t="n">
        <x:v>0.8176972281449894</x:v>
      </x:c>
      <x:c r="G66" s="30" t="n">
        <x:v>0.867193329486486</x:v>
      </x:c>
      <x:c r="H66" s="27" t="n">
        <x:v>92296.703</x:v>
      </x:c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8" t="str">
        <x:v>Loss first|50|block</x:v>
      </x:c>
      <x:c r="B67" s="18" t="str">
        <x:v>Loss first</x:v>
      </x:c>
      <x:c r="C67" s="27" t="n">
        <x:v>50</x:v>
      </x:c>
      <x:c r="D67" s="18" t="str">
        <x:v>block</x:v>
      </x:c>
      <x:c r="E67" s="27" t="n">
        <x:v>4496</x:v>
      </x:c>
      <x:c r="F67" s="30" t="n">
        <x:v>0.34096975088967973</x:v>
      </x:c>
      <x:c r="G67" s="30" t="n">
        <x:v>0.40638164831935775</x:v>
      </x:c>
      <x:c r="H67" s="27" t="n">
        <x:v>818010.356</x:v>
      </x:c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8" t="str">
        <x:v>Loss first|100|block</x:v>
      </x:c>
      <x:c r="B68" s="18" t="str">
        <x:v>Loss first</x:v>
      </x:c>
      <x:c r="C68" s="27" t="n">
        <x:v>100</x:v>
      </x:c>
      <x:c r="D68" s="18" t="str">
        <x:v>block</x:v>
      </x:c>
      <x:c r="E68" s="27" t="n">
        <x:v>4017</x:v>
      </x:c>
      <x:c r="F68" s="30" t="n">
        <x:v>0.3679362708488922</x:v>
      </x:c>
      <x:c r="G68" s="30" t="n">
        <x:v>0.43878598646047434</x:v>
      </x:c>
      <x:c r="H68" s="27" t="n">
        <x:v>684073.623</x:v>
      </x:c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8" t="str">
        <x:v>Loss first|250|block</x:v>
      </x:c>
      <x:c r="B69" s="18" t="str">
        <x:v>Loss first</x:v>
      </x:c>
      <x:c r="C69" s="27" t="n">
        <x:v>250</x:v>
      </x:c>
      <x:c r="D69" s="18" t="str">
        <x:v>block</x:v>
      </x:c>
      <x:c r="E69" s="27" t="n">
        <x:v>3526</x:v>
      </x:c>
      <x:c r="F69" s="30" t="n">
        <x:v>0.4086783891094725</x:v>
      </x:c>
      <x:c r="G69" s="30" t="n">
        <x:v>0.47816485106091217</x:v>
      </x:c>
      <x:c r="H69" s="27" t="n">
        <x:v>591755.924</x:v>
      </x:c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9" t="str">
        <x:v>Loss first|500|block</x:v>
      </x:c>
      <x:c r="B70" s="19" t="str">
        <x:v>Loss first</x:v>
      </x:c>
      <x:c r="C70" s="28" t="n">
        <x:v>500</x:v>
      </x:c>
      <x:c r="D70" s="19" t="str">
        <x:v>block</x:v>
      </x:c>
      <x:c r="E70" s="28" t="n">
        <x:v>3526</x:v>
      </x:c>
      <x:c r="F70" s="31" t="n">
        <x:v>0.4086783891094725</x:v>
      </x:c>
      <x:c r="G70" s="31" t="n">
        <x:v>0.47816485106091217</x:v>
      </x:c>
      <x:c r="H70" s="28" t="n">
        <x:v>591755.924</x:v>
      </x:c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24" customHeight="1">
      <x:c r="A74" s="13" t="str">
        <x:v>Model</x:v>
      </x:c>
      <x:c r="B74" s="14" t="str">
        <x:v>Key</x:v>
      </x:c>
      <x:c r="C74" s="14" t="str">
        <x:v>Average precision</x:v>
      </x:c>
      <x:c r="D74" s="14" t="str">
        <x:v>ROC-AUC</x:v>
      </x:c>
      <x:c r="E74" s="14" t="str">
        <x:v>Brier score</x:v>
      </x:c>
      <x:c r="F74" s="14" t="str">
        <x:v>Precision@100</x:v>
      </x:c>
      <x:c r="G74" s="14" t="str">
        <x:v>Recall@100</x:v>
      </x:c>
      <x:c r="H74" s="15" t="str">
        <x:v>Exposure captured@100</x:v>
      </x:c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7" t="str">
        <x:v>Rules</x:v>
      </x:c>
      <x:c r="B75" s="17" t="str">
        <x:v>rules</x:v>
      </x:c>
      <x:c r="C75" s="32" t="n">
        <x:v>0.06475241177308845</x:v>
      </x:c>
      <x:c r="D75" s="32" t="n">
        <x:v>0.6866581913432379</x:v>
      </x:c>
      <x:c r="E75" s="32" t="n">
        <x:v>0.033217081333032854</x:v>
      </x:c>
      <x:c r="F75" s="32" t="n">
        <x:v>0.07870967741935483</x:v>
      </x:c>
      <x:c r="G75" s="32" t="n">
        <x:v>0.08108133385260494</x:v>
      </x:c>
      <x:c r="H75" s="32" t="n">
        <x:v>0.18484770055738522</x:v>
      </x:c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8" t="str">
        <x:v>Linear baseline</x:v>
      </x:c>
      <x:c r="B76" s="18" t="str">
        <x:v>linear</x:v>
      </x:c>
      <x:c r="C76" s="33" t="n">
        <x:v>0.10951673987087393</x:v>
      </x:c>
      <x:c r="D76" s="33" t="n">
        <x:v>0.7109742233567639</x:v>
      </x:c>
      <x:c r="E76" s="33" t="n">
        <x:v>0.03319166065564561</x:v>
      </x:c>
      <x:c r="F76" s="33" t="n">
        <x:v>0.14161290322580644</x:v>
      </x:c>
      <x:c r="G76" s="33" t="n">
        <x:v>0.1428347517568627</x:v>
      </x:c>
      <x:c r="H76" s="33" t="n">
        <x:v>0.10288587595584044</x:v>
      </x:c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8" t="str">
        <x:v>GBM transaction</x:v>
      </x:c>
      <x:c r="B77" s="18" t="str">
        <x:v>gbm_transaction</x:v>
      </x:c>
      <x:c r="C77" s="33" t="n">
        <x:v>0.4608689910284057</x:v>
      </x:c>
      <x:c r="D77" s="33" t="n">
        <x:v>0.8803450148517206</x:v>
      </x:c>
      <x:c r="E77" s="33" t="n">
        <x:v>0.024139825940593107</x:v>
      </x:c>
      <x:c r="F77" s="33" t="n">
        <x:v>0.34838709677419355</x:v>
      </x:c>
      <x:c r="G77" s="33" t="n">
        <x:v>0.35804712214255374</x:v>
      </x:c>
      <x:c r="H77" s="33" t="n">
        <x:v>0.3243731192908206</x:v>
      </x:c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8" t="str">
        <x:v>GBM + identity</x:v>
      </x:c>
      <x:c r="B78" s="18" t="str">
        <x:v>gbm_plus_identity</x:v>
      </x:c>
      <x:c r="C78" s="33" t="n">
        <x:v>0.45969226083775816</x:v>
      </x:c>
      <x:c r="D78" s="33" t="n">
        <x:v>0.8827190472773557</x:v>
      </x:c>
      <x:c r="E78" s="33" t="n">
        <x:v>0.024192064595778395</x:v>
      </x:c>
      <x:c r="F78" s="33" t="n">
        <x:v>0.3470967741935484</x:v>
      </x:c>
      <x:c r="G78" s="33" t="n">
        <x:v>0.3567011697480654</x:v>
      </x:c>
      <x:c r="H78" s="33" t="n">
        <x:v>0.33132154845242245</x:v>
      </x:c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9" t="str">
        <x:v>GBM + behaviour</x:v>
      </x:c>
      <x:c r="B79" s="19" t="str">
        <x:v>gbm_plus_behaviour</x:v>
      </x:c>
      <x:c r="C79" s="34" t="n">
        <x:v>0.45503697924576636</x:v>
      </x:c>
      <x:c r="D79" s="34" t="n">
        <x:v>0.8780986654085731</x:v>
      </x:c>
      <x:c r="E79" s="34" t="n">
        <x:v>0.024354225327621094</x:v>
      </x:c>
      <x:c r="F79" s="34" t="n">
        <x:v>0.3461290322580645</x:v>
      </x:c>
      <x:c r="G79" s="34" t="n">
        <x:v>0.3553409831069989</x:v>
      </x:c>
      <x:c r="H79" s="34" t="n">
        <x:v>0.3305063017245285</x:v>
      </x:c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24" customHeight="1">
      <x:c r="A84" s="13" t="str">
        <x:v>Week</x:v>
      </x:c>
      <x:c r="B84" s="14" t="str">
        <x:v>Rows</x:v>
      </x:c>
      <x:c r="C84" s="14" t="str">
        <x:v>Fraud rate</x:v>
      </x:c>
      <x:c r="D84" s="14" t="str">
        <x:v>Average probability</x:v>
      </x:c>
      <x:c r="E84" s="14" t="str">
        <x:v>Average precision</x:v>
      </x:c>
      <x:c r="F84" s="14" t="str">
        <x:v>Brier score</x:v>
      </x:c>
      <x:c r="G84" s="14" t="str">
        <x:v>ECE</x:v>
      </x:c>
      <x:c r="H84" s="14" t="str">
        <x:v>Score PSI</x:v>
      </x:c>
      <x:c r="I84" s="14" t="str">
        <x:v>Amount PSI</x:v>
      </x:c>
      <x:c r="J84" s="14" t="str">
        <x:v>Identity coverage</x:v>
      </x:c>
      <x:c r="K84" s="14" t="str">
        <x:v>New-entity rate</x:v>
      </x:c>
      <x:c r="L84" s="15" t="str">
        <x:v>Precision@100</x:v>
      </x:c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26" t="n">
        <x:v>21</x:v>
      </x:c>
      <x:c r="B85" s="26" t="n">
        <x:v>6256</x:v>
      </x:c>
      <x:c r="C85" s="32" t="n">
        <x:v>0.03436700767263427</x:v>
      </x:c>
      <x:c r="D85" s="32" t="n">
        <x:v>0.03579287731801559</x:v>
      </x:c>
      <x:c r="E85" s="32" t="n">
        <x:v>0.5826021985298915</x:v>
      </x:c>
      <x:c r="F85" s="32" t="n">
        <x:v>0.020072249258321555</x:v>
      </x:c>
      <x:c r="G85" s="32" t="n">
        <x:v>0.004766381469258543</x:v>
      </x:c>
      <x:c r="H85" s="32" t="n">
        <x:v>0.014062917844047354</x:v>
      </x:c>
      <x:c r="I85" s="32" t="n">
        <x:v>0.013442684778037919</x:v>
      </x:c>
      <x:c r="J85" s="32" t="n">
        <x:v>0.15377237851662404</x:v>
      </x:c>
      <x:c r="K85" s="32" t="n">
        <x:v>0.07752557544757033</x:v>
      </x:c>
      <x:c r="L85" s="32" t="n">
        <x:v>0.4044943820224719</x:v>
      </x:c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27" t="n">
        <x:v>22</x:v>
      </x:c>
      <x:c r="B86" s="27" t="n">
        <x:v>20740</x:v>
      </x:c>
      <x:c r="C86" s="33" t="n">
        <x:v>0.02849566055930569</x:v>
      </x:c>
      <x:c r="D86" s="33" t="n">
        <x:v>0.03395740658562304</x:v>
      </x:c>
      <x:c r="E86" s="33" t="n">
        <x:v>0.43936058633854985</x:v>
      </x:c>
      <x:c r="F86" s="33" t="n">
        <x:v>0.02068084748117821</x:v>
      </x:c>
      <x:c r="G86" s="33" t="n">
        <x:v>0.006028916939830488</x:v>
      </x:c>
      <x:c r="H86" s="33" t="n">
        <x:v>0.03133804874522373</x:v>
      </x:c>
      <x:c r="I86" s="33" t="n">
        <x:v>0.011831555877059023</x:v>
      </x:c>
      <x:c r="J86" s="33" t="n">
        <x:v>0.17791706846673094</x:v>
      </x:c>
      <x:c r="K86" s="33" t="n">
        <x:v>0.0787367405978785</x:v>
      </x:c>
      <x:c r="L86" s="33" t="n">
        <x:v>0.31857142857142856</x:v>
      </x:c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27" t="n">
        <x:v>23</x:v>
      </x:c>
      <x:c r="B87" s="27" t="n">
        <x:v>20944</x:v>
      </x:c>
      <x:c r="C87" s="33" t="n">
        <x:v>0.032515278838808254</x:v>
      </x:c>
      <x:c r="D87" s="33" t="n">
        <x:v>0.040025190510839255</x:v>
      </x:c>
      <x:c r="E87" s="33" t="n">
        <x:v>0.38986079871603646</x:v>
      </x:c>
      <x:c r="F87" s="33" t="n">
        <x:v>0.024343034311194015</x:v>
      </x:c>
      <x:c r="G87" s="33" t="n">
        <x:v>0.007509911672031001</x:v>
      </x:c>
      <x:c r="H87" s="33" t="n">
        <x:v>0.05394442730267607</x:v>
      </x:c>
      <x:c r="I87" s="33" t="n">
        <x:v>0.00453140392882332</x:v>
      </x:c>
      <x:c r="J87" s="33" t="n">
        <x:v>0.2610294117647059</x:v>
      </x:c>
      <x:c r="K87" s="33" t="n">
        <x:v>0.08427234530175706</x:v>
      </x:c>
      <x:c r="L87" s="33" t="n">
        <x:v>0.33</x:v>
      </x:c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27" t="n">
        <x:v>24</x:v>
      </x:c>
      <x:c r="B88" s="27" t="n">
        <x:v>20206</x:v>
      </x:c>
      <x:c r="C88" s="33" t="n">
        <x:v>0.03667227556171434</x:v>
      </x:c>
      <x:c r="D88" s="33" t="n">
        <x:v>0.03922301148037418</x:v>
      </x:c>
      <x:c r="E88" s="33" t="n">
        <x:v>0.4962764102597097</x:v>
      </x:c>
      <x:c r="F88" s="33" t="n">
        <x:v>0.024558973574536565</x:v>
      </x:c>
      <x:c r="G88" s="33" t="n">
        <x:v>0.0034299310161247125</x:v>
      </x:c>
      <x:c r="H88" s="33" t="n">
        <x:v>0.06339266046919285</x:v>
      </x:c>
      <x:c r="I88" s="33" t="n">
        <x:v>0.008909898641490333</x:v>
      </x:c>
      <x:c r="J88" s="33" t="n">
        <x:v>0.23463327724438285</x:v>
      </x:c>
      <x:c r="K88" s="33" t="n">
        <x:v>0.0757200831436207</x:v>
      </x:c>
      <x:c r="L88" s="33" t="n">
        <x:v>0.36428571428571427</x:v>
      </x:c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27" t="n">
        <x:v>25</x:v>
      </x:c>
      <x:c r="B89" s="27" t="n">
        <x:v>17681</x:v>
      </x:c>
      <x:c r="C89" s="33" t="n">
        <x:v>0.04162660483004355</x:v>
      </x:c>
      <x:c r="D89" s="33" t="n">
        <x:v>0.04121500058175211</x:v>
      </x:c>
      <x:c r="E89" s="33" t="n">
        <x:v>0.4630016590028908</x:v>
      </x:c>
      <x:c r="F89" s="33" t="n">
        <x:v>0.028639816424796162</x:v>
      </x:c>
      <x:c r="G89" s="33" t="n">
        <x:v>0.007585447023215861</x:v>
      </x:c>
      <x:c r="H89" s="33" t="n">
        <x:v>0.0418498933466083</x:v>
      </x:c>
      <x:c r="I89" s="33" t="n">
        <x:v>0.010132155430029093</x:v>
      </x:c>
      <x:c r="J89" s="33" t="n">
        <x:v>0.18675414286522254</x:v>
      </x:c>
      <x:c r="K89" s="33" t="n">
        <x:v>0.0760703580114247</x:v>
      </x:c>
      <x:c r="L89" s="33" t="n">
        <x:v>0.3557142857142857</x:v>
      </x:c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28" t="n">
        <x:v>26</x:v>
      </x:c>
      <x:c r="B90" s="28" t="n">
        <x:v>2754</x:v>
      </x:c>
      <x:c r="C90" s="34" t="n">
        <x:v>0.043209876543209874</x:v>
      </x:c>
      <x:c r="D90" s="34" t="n">
        <x:v>0.04297784311911678</x:v>
      </x:c>
      <x:c r="E90" s="34" t="n">
        <x:v>0.5406597325976706</x:v>
      </x:c>
      <x:c r="F90" s="34" t="n">
        <x:v>0.027597959684602828</x:v>
      </x:c>
      <x:c r="G90" s="34" t="n">
        <x:v>0.0038917156320573214</x:v>
      </x:c>
      <x:c r="H90" s="34" t="n">
        <x:v>0.04956224824738522</x:v>
      </x:c>
      <x:c r="I90" s="34" t="n">
        <x:v>0.03311980067933211</x:v>
      </x:c>
      <x:c r="J90" s="34" t="n">
        <x:v>0.18373275236020334</x:v>
      </x:c>
      <x:c r="K90" s="34" t="n">
        <x:v>0.07407407407407407</x:v>
      </x:c>
      <x:c r="L90" s="34" t="n">
        <x:v>0.43</x:v>
      </x:c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24" customHeight="1">
      <x:c r="A94" s="13" t="str">
        <x:v>Scenario</x:v>
      </x:c>
      <x:c r="B94" s="14" t="str">
        <x:v>Loss given fraud</x:v>
      </x:c>
      <x:c r="C94" s="14" t="str">
        <x:v>Step-up effectiveness</x:v>
      </x:c>
      <x:c r="D94" s="14" t="str">
        <x:v>Review effectiveness</x:v>
      </x:c>
      <x:c r="E94" s="14" t="str">
        <x:v>Block effectiveness</x:v>
      </x:c>
      <x:c r="F94" s="14" t="str">
        <x:v>Step-up fixed cost</x:v>
      </x:c>
      <x:c r="G94" s="14" t="str">
        <x:v>Step-up legitimate friction</x:v>
      </x:c>
      <x:c r="H94" s="14" t="str">
        <x:v>Review fixed cost</x:v>
      </x:c>
      <x:c r="I94" s="14" t="str">
        <x:v>Review legitimate friction</x:v>
      </x:c>
      <x:c r="J94" s="14" t="str">
        <x:v>Block fixed cost</x:v>
      </x:c>
      <x:c r="K94" s="15" t="str">
        <x:v>Block legitimate amount fraction</x:v>
      </x:c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7" t="str">
        <x:v>Balanced</x:v>
      </x:c>
      <x:c r="B95" s="23" t="n">
        <x:v>0.6</x:v>
      </x:c>
      <x:c r="C95" s="23" t="n">
        <x:v>0.4</x:v>
      </x:c>
      <x:c r="D95" s="23" t="n">
        <x:v>0.75</x:v>
      </x:c>
      <x:c r="E95" s="23" t="n">
        <x:v>0.95</x:v>
      </x:c>
      <x:c r="F95" s="17" t="n">
        <x:v>0.5</x:v>
      </x:c>
      <x:c r="G95" s="17" t="n">
        <x:v>1.5</x:v>
      </x:c>
      <x:c r="H95" s="17" t="n">
        <x:v>5</x:v>
      </x:c>
      <x:c r="I95" s="17" t="n">
        <x:v>3</x:v>
      </x:c>
      <x:c r="J95" s="17" t="n">
        <x:v>10</x:v>
      </x:c>
      <x:c r="K95" s="17" t="n">
        <x:v>0.08</x:v>
      </x:c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8" t="str">
        <x:v>Customer first</x:v>
      </x:c>
      <x:c r="B96" s="24" t="n">
        <x:v>0.5</x:v>
      </x:c>
      <x:c r="C96" s="24" t="n">
        <x:v>0.35</x:v>
      </x:c>
      <x:c r="D96" s="24" t="n">
        <x:v>0.7</x:v>
      </x:c>
      <x:c r="E96" s="24" t="n">
        <x:v>0.95</x:v>
      </x:c>
      <x:c r="F96" s="18" t="n">
        <x:v>0.75</x:v>
      </x:c>
      <x:c r="G96" s="18" t="n">
        <x:v>2.5</x:v>
      </x:c>
      <x:c r="H96" s="18" t="n">
        <x:v>8</x:v>
      </x:c>
      <x:c r="I96" s="18" t="n">
        <x:v>5</x:v>
      </x:c>
      <x:c r="J96" s="18" t="n">
        <x:v>25</x:v>
      </x:c>
      <x:c r="K96" s="18" t="n">
        <x:v>0.2</x:v>
      </x:c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9" t="str">
        <x:v>Loss first</x:v>
      </x:c>
      <x:c r="B97" s="25" t="n">
        <x:v>0.8</x:v>
      </x:c>
      <x:c r="C97" s="25" t="n">
        <x:v>0.45</x:v>
      </x:c>
      <x:c r="D97" s="25" t="n">
        <x:v>0.8</x:v>
      </x:c>
      <x:c r="E97" s="25" t="n">
        <x:v>0.97</x:v>
      </x:c>
      <x:c r="F97" s="19" t="n">
        <x:v>0.4</x:v>
      </x:c>
      <x:c r="G97" s="19" t="n">
        <x:v>0.75</x:v>
      </x:c>
      <x:c r="H97" s="19" t="n">
        <x:v>3</x:v>
      </x:c>
      <x:c r="I97" s="19" t="n">
        <x:v>1.5</x:v>
      </x:c>
      <x:c r="J97" s="19" t="n">
        <x:v>5</x:v>
      </x:c>
      <x:c r="K97" s="19" t="n">
        <x:v>0.03</x:v>
      </x:c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35" t="str">
        <x:v>Sources</x:v>
      </x:c>
      <x:c r="B102" s="35" t="str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 t="str">
        <x:v>IEEE-CIS Fraud Detection</x:v>
      </x:c>
      <x:c r="B103" s="1" t="str">
        <x:v>https://www.kaggle.com/competitions/ieee-fraud-detection/</x:v>
      </x:c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 t="str">
        <x:v>Repository aggregate reports</x:v>
      </x:c>
      <x:c r="B104" s="1" t="str">
        <x:v>https://github.com/nhatphan220506/fraud-ops-intelligence-lab/tree/main/reports</x:v>
      </x:c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2:L2"/>
    <x:mergeCell ref="A4:L4"/>
  </x:mergeCells>
  <x:pageMargins left="0.7" right="0.7" top="0.75" bottom="0.75" header="0.3" footer="0.3"/>
</x:worksheet>
</file>